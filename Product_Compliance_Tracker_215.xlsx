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ela\Downloads\"/>
    </mc:Choice>
  </mc:AlternateContent>
  <xr:revisionPtr revIDLastSave="0" documentId="13_ncr:1_{C5D24442-717C-4F29-A391-DB4EAA14F555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All Products" sheetId="1" r:id="rId1"/>
    <sheet name="Dashboard" sheetId="2" r:id="rId2"/>
    <sheet name="Indian Products" sheetId="3" r:id="rId3"/>
    <sheet name="Foreign Products" sheetId="4" r:id="rId4"/>
    <sheet name="⚠️ High Prior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2" l="1"/>
  <c r="B4" i="2"/>
  <c r="B6" i="2"/>
  <c r="B3" i="2"/>
  <c r="B12" i="2"/>
  <c r="B13" i="2" s="1"/>
  <c r="B8" i="2"/>
  <c r="B7" i="2"/>
  <c r="B5" i="2"/>
</calcChain>
</file>

<file path=xl/sharedStrings.xml><?xml version="1.0" encoding="utf-8"?>
<sst xmlns="http://schemas.openxmlformats.org/spreadsheetml/2006/main" count="5308" uniqueCount="617">
  <si>
    <t>Product_ID</t>
  </si>
  <si>
    <t>Product_Name</t>
  </si>
  <si>
    <t>Category</t>
  </si>
  <si>
    <t>Country_of_Origin</t>
  </si>
  <si>
    <t>Compliance_Status</t>
  </si>
  <si>
    <t>Regulatory_Document</t>
  </si>
  <si>
    <t>Review_Date</t>
  </si>
  <si>
    <t>Reviewer_Name</t>
  </si>
  <si>
    <t>Priority</t>
  </si>
  <si>
    <t>Days_To_Review</t>
  </si>
  <si>
    <t>Price_INR</t>
  </si>
  <si>
    <t>Notes</t>
  </si>
  <si>
    <t>PROD001</t>
  </si>
  <si>
    <t>OnePlus 11R 5G 128GB</t>
  </si>
  <si>
    <t>Electronics</t>
  </si>
  <si>
    <t>India</t>
  </si>
  <si>
    <t>Re-submission Required</t>
  </si>
  <si>
    <t>BIS</t>
  </si>
  <si>
    <t>2025-12-12</t>
  </si>
  <si>
    <t>Arjun Nair</t>
  </si>
  <si>
    <t>Medium</t>
  </si>
  <si>
    <t>Certification expired - renewal needed</t>
  </si>
  <si>
    <t>PROD002</t>
  </si>
  <si>
    <t>OnePlus Nord CE3 Lite</t>
  </si>
  <si>
    <t>Pending Review</t>
  </si>
  <si>
    <t>2026-01-14</t>
  </si>
  <si>
    <t>Priya Sharma</t>
  </si>
  <si>
    <t>High</t>
  </si>
  <si>
    <t>Testing report pending from lab</t>
  </si>
  <si>
    <t>PROD003</t>
  </si>
  <si>
    <t>boAt Airdopes 131</t>
  </si>
  <si>
    <t>2025-11-07</t>
  </si>
  <si>
    <t>Pooja Gupta</t>
  </si>
  <si>
    <t>MRP not printed correctly</t>
  </si>
  <si>
    <t>PROD004</t>
  </si>
  <si>
    <t>boAt Rockerz 450 Bluetooth</t>
  </si>
  <si>
    <t>Approved</t>
  </si>
  <si>
    <t>2025-12-13</t>
  </si>
  <si>
    <t>Kavita Reddy</t>
  </si>
  <si>
    <t>Documentation complete - approved</t>
  </si>
  <si>
    <t>PROD005</t>
  </si>
  <si>
    <t>boAt Stone 352 Speaker</t>
  </si>
  <si>
    <t>Rejected</t>
  </si>
  <si>
    <t>2025-12-17</t>
  </si>
  <si>
    <t>PROD006</t>
  </si>
  <si>
    <t>Noise ColorFit Pro 4 Watch</t>
  </si>
  <si>
    <t>2025-11-06</t>
  </si>
  <si>
    <t>PROD007</t>
  </si>
  <si>
    <t>Noise Buds VS104 TWS</t>
  </si>
  <si>
    <t>2025-12-07</t>
  </si>
  <si>
    <t>Rajesh Kumar</t>
  </si>
  <si>
    <t>Quality check completed successfully</t>
  </si>
  <si>
    <t>PROD008</t>
  </si>
  <si>
    <t>Portronics Sound Drum Speaker</t>
  </si>
  <si>
    <t>2025-12-25</t>
  </si>
  <si>
    <t>Low</t>
  </si>
  <si>
    <t>PROD009</t>
  </si>
  <si>
    <t>Realme Narzo 60 5G</t>
  </si>
  <si>
    <t>2025-11-30</t>
  </si>
  <si>
    <t>PROD010</t>
  </si>
  <si>
    <t>Realme 11 Pro Plus</t>
  </si>
  <si>
    <t>2025-12-06</t>
  </si>
  <si>
    <t>Vikram Iyer</t>
  </si>
  <si>
    <t>Trademark verification pending</t>
  </si>
  <si>
    <t>PROD011</t>
  </si>
  <si>
    <t>Mi Power Bank 3i 20000mAh</t>
  </si>
  <si>
    <t>2026-01-13</t>
  </si>
  <si>
    <t>Amit Singh</t>
  </si>
  <si>
    <t>PROD012</t>
  </si>
  <si>
    <t>Mi Band 7 Fitness Tracker</t>
  </si>
  <si>
    <t>2026-02-04</t>
  </si>
  <si>
    <t>PROD013</t>
  </si>
  <si>
    <t>pTron Bassbuds Duo Earbuds</t>
  </si>
  <si>
    <t>2026-01-26</t>
  </si>
  <si>
    <t>Packaging doesn't meet standards</t>
  </si>
  <si>
    <t>PROD014</t>
  </si>
  <si>
    <t>pTron Force X11 Smartwatch</t>
  </si>
  <si>
    <t>2025-11-20</t>
  </si>
  <si>
    <t>Product dimensions mismatch</t>
  </si>
  <si>
    <t>PROD015</t>
  </si>
  <si>
    <t>Fire-Boltt Phoenix Smart Watch</t>
  </si>
  <si>
    <t>2025-10-29</t>
  </si>
  <si>
    <t>PROD016</t>
  </si>
  <si>
    <t>Fire-Boltt Ninja Call Pro Plus</t>
  </si>
  <si>
    <t>2025-12-15</t>
  </si>
  <si>
    <t>Barcode format incorrect</t>
  </si>
  <si>
    <t>PROD017</t>
  </si>
  <si>
    <t>Ambrane 10000mAh Power Bank</t>
  </si>
  <si>
    <t>2025-12-05</t>
  </si>
  <si>
    <t>PROD018</t>
  </si>
  <si>
    <t>Syska 20W Fast Charger</t>
  </si>
  <si>
    <t>2025-12-26</t>
  </si>
  <si>
    <t>PROD019</t>
  </si>
  <si>
    <t>Crossbeats Pebble Earbuds</t>
  </si>
  <si>
    <t>2026-01-10</t>
  </si>
  <si>
    <t>Sneha Patel</t>
  </si>
  <si>
    <t>PROD020</t>
  </si>
  <si>
    <t>Zebronics Zeb-Thunder Headphone</t>
  </si>
  <si>
    <t>2025-12-14</t>
  </si>
  <si>
    <t>PROD021</t>
  </si>
  <si>
    <t>Intex 2.1 Speaker System</t>
  </si>
  <si>
    <t>2025-10-31</t>
  </si>
  <si>
    <t>PROD022</t>
  </si>
  <si>
    <t>iBall Musi Play A1 Speaker</t>
  </si>
  <si>
    <t>2026-02-12</t>
  </si>
  <si>
    <t>Child safety test results needed</t>
  </si>
  <si>
    <t>PROD023</t>
  </si>
  <si>
    <t>Micromax IN Note 2</t>
  </si>
  <si>
    <t>2025-11-12</t>
  </si>
  <si>
    <t>PROD024</t>
  </si>
  <si>
    <t>Lava Blaze 5G</t>
  </si>
  <si>
    <t>2026-02-03</t>
  </si>
  <si>
    <t>PROD025</t>
  </si>
  <si>
    <t>Karbonn A40 Indian 4G</t>
  </si>
  <si>
    <t>2025-12-27</t>
  </si>
  <si>
    <t>PROD026</t>
  </si>
  <si>
    <t>Intex LED TV 32 inch</t>
  </si>
  <si>
    <t>PROD027</t>
  </si>
  <si>
    <t>Croma USB Type-C Cable</t>
  </si>
  <si>
    <t>Battery certification required</t>
  </si>
  <si>
    <t>PROD028</t>
  </si>
  <si>
    <t>Syska 9W LED Bulb</t>
  </si>
  <si>
    <t>2025-11-17</t>
  </si>
  <si>
    <t>PROD029</t>
  </si>
  <si>
    <t>Havells 1200mm Ceiling Fan</t>
  </si>
  <si>
    <t>2025-12-28</t>
  </si>
  <si>
    <t>Seller registration verification pending</t>
  </si>
  <si>
    <t>PROD030</t>
  </si>
  <si>
    <t>Bajaj Majesty 750W Mixer</t>
  </si>
  <si>
    <t>2025-11-11</t>
  </si>
  <si>
    <t>Missing ingredient list translation</t>
  </si>
  <si>
    <t>PROD031</t>
  </si>
  <si>
    <t>MDH Chana Masala 100g</t>
  </si>
  <si>
    <t>Food &amp; Beverages</t>
  </si>
  <si>
    <t>FSSAI</t>
  </si>
  <si>
    <t>2025-12-30</t>
  </si>
  <si>
    <t>Awaiting customs clearance</t>
  </si>
  <si>
    <t>PROD032</t>
  </si>
  <si>
    <t>MDH Garam Masala 100g</t>
  </si>
  <si>
    <t>2025-11-08</t>
  </si>
  <si>
    <t>PROD033</t>
  </si>
  <si>
    <t>Everest Turmeric Powder 200g</t>
  </si>
  <si>
    <t>PROD034</t>
  </si>
  <si>
    <t>Everest Chilli Powder 100g</t>
  </si>
  <si>
    <t>2025-12-02</t>
  </si>
  <si>
    <t>Label missing manufacturing date</t>
  </si>
  <si>
    <t>PROD035</t>
  </si>
  <si>
    <t>Amul Butter 500g</t>
  </si>
  <si>
    <t>2025-11-16</t>
  </si>
  <si>
    <t>PROD036</t>
  </si>
  <si>
    <t>Amul Cheese Slices 200g</t>
  </si>
  <si>
    <t>PROD037</t>
  </si>
  <si>
    <t>Amul Fresh Milk 1L</t>
  </si>
  <si>
    <t>2025-12-10</t>
  </si>
  <si>
    <t>PROD038</t>
  </si>
  <si>
    <t>Mother Dairy Ghee 500ml</t>
  </si>
  <si>
    <t>2026-01-21</t>
  </si>
  <si>
    <t>PROD039</t>
  </si>
  <si>
    <t>Parle-G Biscuits 1kg Pack</t>
  </si>
  <si>
    <t>2026-01-03</t>
  </si>
  <si>
    <t>PROD040</t>
  </si>
  <si>
    <t>Parle Monaco Biscuits 300g</t>
  </si>
  <si>
    <t>2025-10-26</t>
  </si>
  <si>
    <t>Foreign language text needs translation</t>
  </si>
  <si>
    <t>PROD041</t>
  </si>
  <si>
    <t>Britannia Good Day 200g</t>
  </si>
  <si>
    <t>Nutritional info incomplete</t>
  </si>
  <si>
    <t>PROD042</t>
  </si>
  <si>
    <t>Britannia Marie Gold 250g</t>
  </si>
  <si>
    <t>2026-01-20</t>
  </si>
  <si>
    <t>PROD043</t>
  </si>
  <si>
    <t>Tata Tea Gold 1kg</t>
  </si>
  <si>
    <t>2026-01-25</t>
  </si>
  <si>
    <t>PROD044</t>
  </si>
  <si>
    <t>Tata Tea Premium 500g</t>
  </si>
  <si>
    <t>PROD045</t>
  </si>
  <si>
    <t>Red Label Tea 1kg</t>
  </si>
  <si>
    <t>2025-10-27</t>
  </si>
  <si>
    <t>PROD046</t>
  </si>
  <si>
    <t>Nescafe Classic Coffee 50g</t>
  </si>
  <si>
    <t>2026-01-23</t>
  </si>
  <si>
    <t>PROD047</t>
  </si>
  <si>
    <t>Bru Instant Coffee 100g</t>
  </si>
  <si>
    <t>2025-11-03</t>
  </si>
  <si>
    <t>PROD048</t>
  </si>
  <si>
    <t>Haldiram Bhujia 400g</t>
  </si>
  <si>
    <t>PROD049</t>
  </si>
  <si>
    <t>Haldiram Namkeen Mix 200g</t>
  </si>
  <si>
    <t>2026-02-13</t>
  </si>
  <si>
    <t>PROD050</t>
  </si>
  <si>
    <t>Bikaji Aloo Bhujia 200g</t>
  </si>
  <si>
    <t>2025-12-31</t>
  </si>
  <si>
    <t>PROD051</t>
  </si>
  <si>
    <t>Maggi 2-Minute Noodles 560g</t>
  </si>
  <si>
    <t>PROD052</t>
  </si>
  <si>
    <t>Top Ramen Noodles 280g</t>
  </si>
  <si>
    <t>2026-02-06</t>
  </si>
  <si>
    <t>PROD053</t>
  </si>
  <si>
    <t>India Gate Basmati Rice 1kg</t>
  </si>
  <si>
    <t>PROD054</t>
  </si>
  <si>
    <t>Fortune Sunflower Oil 5L</t>
  </si>
  <si>
    <t>PROD055</t>
  </si>
  <si>
    <t>Tata Salt 1kg</t>
  </si>
  <si>
    <t>PROD056</t>
  </si>
  <si>
    <t>Aashirvaad Atta 5kg</t>
  </si>
  <si>
    <t>2026-01-27</t>
  </si>
  <si>
    <t>PROD057</t>
  </si>
  <si>
    <t>Patanjali Honey 500g</t>
  </si>
  <si>
    <t>2025-10-20</t>
  </si>
  <si>
    <t>PROD058</t>
  </si>
  <si>
    <t>Dabur Chyawanprash 500g</t>
  </si>
  <si>
    <t>2025-10-30</t>
  </si>
  <si>
    <t>PROD059</t>
  </si>
  <si>
    <t>Kissan Jam Mixed Fruit 500g</t>
  </si>
  <si>
    <t>Allergen declaration missing</t>
  </si>
  <si>
    <t>PROD060</t>
  </si>
  <si>
    <t>MTR Ready to Eat Masala Dosa</t>
  </si>
  <si>
    <t>2025-11-15</t>
  </si>
  <si>
    <t>PROD061</t>
  </si>
  <si>
    <t>Mamaearth Vitamin C Serum 30ml</t>
  </si>
  <si>
    <t>Cosmetics</t>
  </si>
  <si>
    <t>CDSCO</t>
  </si>
  <si>
    <t>Import duty classification unclear</t>
  </si>
  <si>
    <t>PROD062</t>
  </si>
  <si>
    <t>Mamaearth Onion Hair Oil 250ml</t>
  </si>
  <si>
    <t>PROD063</t>
  </si>
  <si>
    <t>Biotique Bio Kelp Shampoo 340ml</t>
  </si>
  <si>
    <t>2025-11-23</t>
  </si>
  <si>
    <t>PROD064</t>
  </si>
  <si>
    <t>Biotique Bio Honey Gel Face Wash</t>
  </si>
  <si>
    <t>2025-11-26</t>
  </si>
  <si>
    <t>PROD065</t>
  </si>
  <si>
    <t>Lakme 9to5 Lipstick Rosy Monday</t>
  </si>
  <si>
    <t>PROD066</t>
  </si>
  <si>
    <t>Lakme Absolute Foundation 25ml</t>
  </si>
  <si>
    <t>PROD067</t>
  </si>
  <si>
    <t>Plum Green Tea Face Wash 75ml</t>
  </si>
  <si>
    <t>2025-11-09</t>
  </si>
  <si>
    <t>PROD068</t>
  </si>
  <si>
    <t>Plum Niacinamide Serum 30ml</t>
  </si>
  <si>
    <t>2026-01-07</t>
  </si>
  <si>
    <t>PROD069</t>
  </si>
  <si>
    <t>WOW Onion Hair Oil 200ml</t>
  </si>
  <si>
    <t>PROD070</t>
  </si>
  <si>
    <t>WOW Apple Cider Vinegar Shampoo</t>
  </si>
  <si>
    <t>2026-01-05</t>
  </si>
  <si>
    <t>PROD071</t>
  </si>
  <si>
    <t>Himalaya Neem Face Wash 150ml</t>
  </si>
  <si>
    <t>PROD072</t>
  </si>
  <si>
    <t>Himalaya Anti-Hair Fall Shampoo</t>
  </si>
  <si>
    <t>PROD073</t>
  </si>
  <si>
    <t>Dabur Amla Hair Oil 450ml</t>
  </si>
  <si>
    <t>PROD074</t>
  </si>
  <si>
    <t>Patanjali Kesh Kanti Shampoo</t>
  </si>
  <si>
    <t>PROD075</t>
  </si>
  <si>
    <t>Patanjali Aloe Vera Gel 150ml</t>
  </si>
  <si>
    <t>2025-12-24</t>
  </si>
  <si>
    <t>PROD076</t>
  </si>
  <si>
    <t>Lotus Herbals Whiteglow Cream</t>
  </si>
  <si>
    <t>2025-12-23</t>
  </si>
  <si>
    <t>PROD077</t>
  </si>
  <si>
    <t>Shahnaz Husain Gold Facial Kit</t>
  </si>
  <si>
    <t>2025-11-27</t>
  </si>
  <si>
    <t>PROD078</t>
  </si>
  <si>
    <t>Forest Essentials Face Serum</t>
  </si>
  <si>
    <t>PROD079</t>
  </si>
  <si>
    <t>Kama Ayurveda Face Oil 12ml</t>
  </si>
  <si>
    <t>PROD080</t>
  </si>
  <si>
    <t>Beardo Beard Oil 30ml</t>
  </si>
  <si>
    <t>PROD081</t>
  </si>
  <si>
    <t>The Man Company Beard Wax</t>
  </si>
  <si>
    <t>2025-11-28</t>
  </si>
  <si>
    <t>PROD082</t>
  </si>
  <si>
    <t>Sugar Cosmetics Matte Lipstick</t>
  </si>
  <si>
    <t>2026-01-16</t>
  </si>
  <si>
    <t>PROD083</t>
  </si>
  <si>
    <t>Nykaa Kajal Black Magic</t>
  </si>
  <si>
    <t>PROD084</t>
  </si>
  <si>
    <t>Colorbar Nail Polish Exclusive</t>
  </si>
  <si>
    <t>2025-11-02</t>
  </si>
  <si>
    <t>PROD085</t>
  </si>
  <si>
    <t>Joy Skin Fruits Face Wash 100ml</t>
  </si>
  <si>
    <t>PROD086</t>
  </si>
  <si>
    <t>Funskool Giggles Melody Bear</t>
  </si>
  <si>
    <t>Toys</t>
  </si>
  <si>
    <t>2025-11-14</t>
  </si>
  <si>
    <t>PROD087</t>
  </si>
  <si>
    <t>Funskool Play &amp; Learn Doh Set</t>
  </si>
  <si>
    <t>PROD088</t>
  </si>
  <si>
    <t>Luvlap Baby Rattle Set 5pcs</t>
  </si>
  <si>
    <t>2025-12-11</t>
  </si>
  <si>
    <t>PROD089</t>
  </si>
  <si>
    <t>Ratnas Educational Building Blocks</t>
  </si>
  <si>
    <t>PROD090</t>
  </si>
  <si>
    <t>Chhota Bheem Action Figure</t>
  </si>
  <si>
    <t>2025-11-22</t>
  </si>
  <si>
    <t>PROD091</t>
  </si>
  <si>
    <t>Smartcraft Wooden Puzzle 24pcs</t>
  </si>
  <si>
    <t>PROD092</t>
  </si>
  <si>
    <t>Toyshine Musical Train Toy</t>
  </si>
  <si>
    <t>PROD093</t>
  </si>
  <si>
    <t>Babyhug Soft Teddy Bear 30cm</t>
  </si>
  <si>
    <t>PROD094</t>
  </si>
  <si>
    <t>Little Genius Alphabet Learning</t>
  </si>
  <si>
    <t>2026-01-09</t>
  </si>
  <si>
    <t>PROD095</t>
  </si>
  <si>
    <t>Mitashi Skykidz Musical Piano</t>
  </si>
  <si>
    <t>2025-11-10</t>
  </si>
  <si>
    <t>PROD096</t>
  </si>
  <si>
    <t>Prestige Omega Deluxe Cooker 5L</t>
  </si>
  <si>
    <t>Home &amp; Kitchen</t>
  </si>
  <si>
    <t>PROD097</t>
  </si>
  <si>
    <t>Prestige Induction Base Kadai</t>
  </si>
  <si>
    <t>PROD098</t>
  </si>
  <si>
    <t>Hawkins Contura Hard Anodised 5L</t>
  </si>
  <si>
    <t>PROD099</t>
  </si>
  <si>
    <t>Pigeon Stovekraft Pressure Cooker</t>
  </si>
  <si>
    <t>2026-01-01</t>
  </si>
  <si>
    <t>PROD100</t>
  </si>
  <si>
    <t>Milton Duo Flask 1000ml</t>
  </si>
  <si>
    <t>2025-12-03</t>
  </si>
  <si>
    <t>PROD101</t>
  </si>
  <si>
    <t>Milton Lunch Box Set 4 Containers</t>
  </si>
  <si>
    <t>PROD102</t>
  </si>
  <si>
    <t>Cello Opalware Dinner Set 27pcs</t>
  </si>
  <si>
    <t>2025-12-01</t>
  </si>
  <si>
    <t>PROD103</t>
  </si>
  <si>
    <t>Borosil Glass Bowl Set 6pcs</t>
  </si>
  <si>
    <t>PROD104</t>
  </si>
  <si>
    <t>Wonderchef Gas Stove 3 Burner</t>
  </si>
  <si>
    <t>PROD105</t>
  </si>
  <si>
    <t>Butterfly Smart Glass Kettle 1.7L</t>
  </si>
  <si>
    <t>2026-02-10</t>
  </si>
  <si>
    <t>PROD106</t>
  </si>
  <si>
    <t>Baltra Mixer Grinder 500W</t>
  </si>
  <si>
    <t>2025-10-21</t>
  </si>
  <si>
    <t>PROD107</t>
  </si>
  <si>
    <t>Inalsa Mixer Grinder Astra 550W</t>
  </si>
  <si>
    <t>2025-12-08</t>
  </si>
  <si>
    <t>PROD108</t>
  </si>
  <si>
    <t>Wipro LED Bulb 9W Pack of 4</t>
  </si>
  <si>
    <t>PROD109</t>
  </si>
  <si>
    <t>Usha Table Fan 400mm</t>
  </si>
  <si>
    <t>PROD110</t>
  </si>
  <si>
    <t>Croma Iron Box 1200W</t>
  </si>
  <si>
    <t>2026-02-09</t>
  </si>
  <si>
    <t>PROD111</t>
  </si>
  <si>
    <t>Apple iPhone 15 Pro 256GB</t>
  </si>
  <si>
    <t>USA</t>
  </si>
  <si>
    <t>FCC</t>
  </si>
  <si>
    <t>2026-01-15</t>
  </si>
  <si>
    <t>PROD112</t>
  </si>
  <si>
    <t>Apple iPhone 14 128GB</t>
  </si>
  <si>
    <t>PROD113</t>
  </si>
  <si>
    <t>Apple AirPods Pro 2nd Gen</t>
  </si>
  <si>
    <t>PROD114</t>
  </si>
  <si>
    <t>Apple Watch Series 9 GPS 41mm</t>
  </si>
  <si>
    <t>2026-02-01</t>
  </si>
  <si>
    <t>PROD115</t>
  </si>
  <si>
    <t>Samsung Galaxy S24 Ultra 256GB</t>
  </si>
  <si>
    <t>South Korea</t>
  </si>
  <si>
    <t>Expiry date format non-compliant</t>
  </si>
  <si>
    <t>PROD116</t>
  </si>
  <si>
    <t>Samsung Galaxy S23 FE</t>
  </si>
  <si>
    <t>PROD117</t>
  </si>
  <si>
    <t>Samsung Galaxy Buds2 Pro</t>
  </si>
  <si>
    <t>PROD118</t>
  </si>
  <si>
    <t>Samsung 43 inch Smart TV</t>
  </si>
  <si>
    <t>PROD119</t>
  </si>
  <si>
    <t>Sony WH-1000XM5 Headphones</t>
  </si>
  <si>
    <t>Japan</t>
  </si>
  <si>
    <t>CE-Mark</t>
  </si>
  <si>
    <t>2026-01-28</t>
  </si>
  <si>
    <t>PROD120</t>
  </si>
  <si>
    <t>Sony PlayStation 5 Console</t>
  </si>
  <si>
    <t>2026-01-22</t>
  </si>
  <si>
    <t>PROD121</t>
  </si>
  <si>
    <t>Sony Bravia 55 inch 4K TV</t>
  </si>
  <si>
    <t>2026-02-08</t>
  </si>
  <si>
    <t>PROD122</t>
  </si>
  <si>
    <t>Dell XPS 13 Laptop 13th Gen</t>
  </si>
  <si>
    <t>PROD123</t>
  </si>
  <si>
    <t>HP Pavilion 15 Laptop</t>
  </si>
  <si>
    <t>2025-12-29</t>
  </si>
  <si>
    <t>PROD124</t>
  </si>
  <si>
    <t>Lenovo ThinkPad E14 Laptop</t>
  </si>
  <si>
    <t>China</t>
  </si>
  <si>
    <t>PROD125</t>
  </si>
  <si>
    <t>Asus VivoBook 15 Laptop</t>
  </si>
  <si>
    <t>Taiwan</t>
  </si>
  <si>
    <t>PROD126</t>
  </si>
  <si>
    <t>JBL Flip 6 Bluetooth Speaker</t>
  </si>
  <si>
    <t>PROD127</t>
  </si>
  <si>
    <t>JBL Tune 510BT Headphones</t>
  </si>
  <si>
    <t>2025-11-13</t>
  </si>
  <si>
    <t>PROD128</t>
  </si>
  <si>
    <t>Bose QuietComfort 45 Headphones</t>
  </si>
  <si>
    <t>PROD129</t>
  </si>
  <si>
    <t>Marshall Major IV Bluetooth</t>
  </si>
  <si>
    <t>UK</t>
  </si>
  <si>
    <t>PROD130</t>
  </si>
  <si>
    <t>GoPro HERO11 Black Camera</t>
  </si>
  <si>
    <t>2026-01-19</t>
  </si>
  <si>
    <t>PROD131</t>
  </si>
  <si>
    <t>Canon EOS 1500D DSLR Camera</t>
  </si>
  <si>
    <t>PROD132</t>
  </si>
  <si>
    <t>Nikon D3500 DSLR Camera</t>
  </si>
  <si>
    <t>2026-02-07</t>
  </si>
  <si>
    <t>PROD133</t>
  </si>
  <si>
    <t>Nintendo Switch OLED Console</t>
  </si>
  <si>
    <t>2026-01-17</t>
  </si>
  <si>
    <t>PROD134</t>
  </si>
  <si>
    <t>Xbox Series S Console 512GB</t>
  </si>
  <si>
    <t>PROD135</t>
  </si>
  <si>
    <t>Logitech MX Master 3S Mouse</t>
  </si>
  <si>
    <t>Switzerland</t>
  </si>
  <si>
    <t>PROD136</t>
  </si>
  <si>
    <t>Logitech K380 Keyboard</t>
  </si>
  <si>
    <t>PROD137</t>
  </si>
  <si>
    <t>Anker PowerCore 20000mAh</t>
  </si>
  <si>
    <t>PROD138</t>
  </si>
  <si>
    <t>Belkin USB-C Hub 7 in 1</t>
  </si>
  <si>
    <t>PROD139</t>
  </si>
  <si>
    <t>SanDisk Extreme 256GB microSD</t>
  </si>
  <si>
    <t>PROD140</t>
  </si>
  <si>
    <t>Western Digital 1TB SSD</t>
  </si>
  <si>
    <t>PROD141</t>
  </si>
  <si>
    <t>Seagate 2TB External HDD</t>
  </si>
  <si>
    <t>2025-11-19</t>
  </si>
  <si>
    <t>PROD142</t>
  </si>
  <si>
    <t>TP-Link WiFi Router Archer C6</t>
  </si>
  <si>
    <t>PROD143</t>
  </si>
  <si>
    <t>Netgear Nighthawk Router</t>
  </si>
  <si>
    <t>PROD144</t>
  </si>
  <si>
    <t>Roku Streaming Stick 4K</t>
  </si>
  <si>
    <t>2025-11-21</t>
  </si>
  <si>
    <t>PROD145</t>
  </si>
  <si>
    <t>Amazon Echo Dot 5th Gen</t>
  </si>
  <si>
    <t>2025-10-25</t>
  </si>
  <si>
    <t>PROD146</t>
  </si>
  <si>
    <t>Kellogg's Corn Flakes 875g</t>
  </si>
  <si>
    <t>FDA</t>
  </si>
  <si>
    <t>PROD147</t>
  </si>
  <si>
    <t>Kellogg's Chocos 375g</t>
  </si>
  <si>
    <t>PROD148</t>
  </si>
  <si>
    <t>Nestle KitKat 4 Finger 41.5g</t>
  </si>
  <si>
    <t>PROD149</t>
  </si>
  <si>
    <t>Nestle Munch Chocolate 10.1g</t>
  </si>
  <si>
    <t>PROD150</t>
  </si>
  <si>
    <t>Nestle Maggi Hot &amp; Sweet Sauce</t>
  </si>
  <si>
    <t>2025-12-04</t>
  </si>
  <si>
    <t>PROD151</t>
  </si>
  <si>
    <t>Coca Cola 2.25L Bottle</t>
  </si>
  <si>
    <t>2026-01-08</t>
  </si>
  <si>
    <t>PROD152</t>
  </si>
  <si>
    <t>Pepsi 750ml Bottle</t>
  </si>
  <si>
    <t>2026-02-02</t>
  </si>
  <si>
    <t>PROD153</t>
  </si>
  <si>
    <t>Red Bull Energy Drink 250ml</t>
  </si>
  <si>
    <t>Austria</t>
  </si>
  <si>
    <t>PROD154</t>
  </si>
  <si>
    <t>Monster Energy Drink 500ml</t>
  </si>
  <si>
    <t>PROD155</t>
  </si>
  <si>
    <t>Ferrero Rocher Chocolate 16pcs</t>
  </si>
  <si>
    <t>Italy</t>
  </si>
  <si>
    <t>2025-11-01</t>
  </si>
  <si>
    <t>PROD156</t>
  </si>
  <si>
    <t>Lindt Lindor Milk Chocolate 200g</t>
  </si>
  <si>
    <t>PROD157</t>
  </si>
  <si>
    <t>Toblerone Swiss Milk 100g</t>
  </si>
  <si>
    <t>PROD158</t>
  </si>
  <si>
    <t>Cadbury Dairy Milk 165g</t>
  </si>
  <si>
    <t>PROD159</t>
  </si>
  <si>
    <t>Lay's Classic Salted Chips 52g</t>
  </si>
  <si>
    <t>PROD160</t>
  </si>
  <si>
    <t>Doritos Nacho Cheese 150g</t>
  </si>
  <si>
    <t>PROD161</t>
  </si>
  <si>
    <t>Pringles Original 107g</t>
  </si>
  <si>
    <t>2026-01-06</t>
  </si>
  <si>
    <t>PROD162</t>
  </si>
  <si>
    <t>Oreo Original Cookies 300g</t>
  </si>
  <si>
    <t>PROD163</t>
  </si>
  <si>
    <t>McVitie's Digestive Biscuits 400g</t>
  </si>
  <si>
    <t>PROD164</t>
  </si>
  <si>
    <t>Nutella Hazelnut Spread 350g</t>
  </si>
  <si>
    <t>PROD165</t>
  </si>
  <si>
    <t>Hershey's Chocolate Syrup 623g</t>
  </si>
  <si>
    <t>PROD166</t>
  </si>
  <si>
    <t>Heinz Tomato Ketchup 910g</t>
  </si>
  <si>
    <t>PROD167</t>
  </si>
  <si>
    <t>Lipton Green Tea 25 Bags</t>
  </si>
  <si>
    <t>2025-12-09</t>
  </si>
  <si>
    <t>PROD168</t>
  </si>
  <si>
    <t>Starbucks Pike Place Coffee 200g</t>
  </si>
  <si>
    <t>PROD169</t>
  </si>
  <si>
    <t>Ben &amp; Jerry's Ice Cream 473ml</t>
  </si>
  <si>
    <t>PROD170</t>
  </si>
  <si>
    <t>Haagen-Dazs Vanilla Ice Cream</t>
  </si>
  <si>
    <t>PROD171</t>
  </si>
  <si>
    <t>Maybelline Fit Me Foundation</t>
  </si>
  <si>
    <t>PROD172</t>
  </si>
  <si>
    <t>Maybelline Super Stay Lipstick</t>
  </si>
  <si>
    <t>2025-11-24</t>
  </si>
  <si>
    <t>PROD173</t>
  </si>
  <si>
    <t>L'Oreal Paris Shampoo 704ml</t>
  </si>
  <si>
    <t>France</t>
  </si>
  <si>
    <t>PROD174</t>
  </si>
  <si>
    <t>L'Oreal Revitalift Face Cream</t>
  </si>
  <si>
    <t>2026-01-24</t>
  </si>
  <si>
    <t>PROD175</t>
  </si>
  <si>
    <t>Nivea Soft Cream 300ml</t>
  </si>
  <si>
    <t>Germany</t>
  </si>
  <si>
    <t>2025-11-29</t>
  </si>
  <si>
    <t>PROD176</t>
  </si>
  <si>
    <t>Nivea Men Face Wash 100g</t>
  </si>
  <si>
    <t>2026-01-31</t>
  </si>
  <si>
    <t>PROD177</t>
  </si>
  <si>
    <t>The Body Shop Tea Tree Oil 20ml</t>
  </si>
  <si>
    <t>PROD178</t>
  </si>
  <si>
    <t>The Body Shop Shea Butter 200ml</t>
  </si>
  <si>
    <t>2026-02-14</t>
  </si>
  <si>
    <t>PROD179</t>
  </si>
  <si>
    <t>Garnier Micellar Water 400ml</t>
  </si>
  <si>
    <t>2025-10-28</t>
  </si>
  <si>
    <t>PROD180</t>
  </si>
  <si>
    <t>Garnier Face Wash 100g</t>
  </si>
  <si>
    <t>PROD181</t>
  </si>
  <si>
    <t>Neutrogena Deep Clean Facial</t>
  </si>
  <si>
    <t>PROD182</t>
  </si>
  <si>
    <t>Neutrogena Hydro Boost Gel</t>
  </si>
  <si>
    <t>2025-10-24</t>
  </si>
  <si>
    <t>PROD183</t>
  </si>
  <si>
    <t>Dove Soap Bar 125g Pack of 3</t>
  </si>
  <si>
    <t>PROD184</t>
  </si>
  <si>
    <t>Dove Shampoo 650ml</t>
  </si>
  <si>
    <t>PROD185</t>
  </si>
  <si>
    <t>Pantene Hair Conditioner 340ml</t>
  </si>
  <si>
    <t>2026-01-11</t>
  </si>
  <si>
    <t>PROD186</t>
  </si>
  <si>
    <t>Head &amp; Shoulders Shampoo 650ml</t>
  </si>
  <si>
    <t>2025-11-25</t>
  </si>
  <si>
    <t>PROD187</t>
  </si>
  <si>
    <t>Gillette Fusion Razor</t>
  </si>
  <si>
    <t>PROD188</t>
  </si>
  <si>
    <t>Vaseline Petroleum Jelly 250ml</t>
  </si>
  <si>
    <t>PROD189</t>
  </si>
  <si>
    <t>Johnson's Baby Lotion 500ml</t>
  </si>
  <si>
    <t>2025-11-04</t>
  </si>
  <si>
    <t>PROD190</t>
  </si>
  <si>
    <t>Olay Regenerist Cream 50g</t>
  </si>
  <si>
    <t>2025-12-16</t>
  </si>
  <si>
    <t>PROD191</t>
  </si>
  <si>
    <t>LEGO City Police Station 60316</t>
  </si>
  <si>
    <t>Denmark</t>
  </si>
  <si>
    <t>PROD192</t>
  </si>
  <si>
    <t>LEGO Star Wars AT-AT 75313</t>
  </si>
  <si>
    <t>PROD193</t>
  </si>
  <si>
    <t>LEGO Classic Creative Bricks</t>
  </si>
  <si>
    <t>2025-12-19</t>
  </si>
  <si>
    <t>PROD194</t>
  </si>
  <si>
    <t>Hot Wheels Track Set 5 Cars</t>
  </si>
  <si>
    <t>CPSC</t>
  </si>
  <si>
    <t>PROD195</t>
  </si>
  <si>
    <t>Hot Wheels Monster Truck</t>
  </si>
  <si>
    <t>PROD196</t>
  </si>
  <si>
    <t>Barbie Dreamhouse Playset</t>
  </si>
  <si>
    <t>PROD197</t>
  </si>
  <si>
    <t>Barbie Fashionistas Doll</t>
  </si>
  <si>
    <t>PROD198</t>
  </si>
  <si>
    <t>Fisher Price Baby Gym Mat</t>
  </si>
  <si>
    <t>PROD199</t>
  </si>
  <si>
    <t>Fisher Price Laugh &amp; Learn</t>
  </si>
  <si>
    <t>PROD200</t>
  </si>
  <si>
    <t>Nerf Elite 2.0 Blaster</t>
  </si>
  <si>
    <t>2026-01-04</t>
  </si>
  <si>
    <t>PROD201</t>
  </si>
  <si>
    <t>Play-Doh Modeling Compound 20pk</t>
  </si>
  <si>
    <t>PROD202</t>
  </si>
  <si>
    <t>Monopoly Classic Board Game</t>
  </si>
  <si>
    <t>PROD203</t>
  </si>
  <si>
    <t>UNO Card Game Original</t>
  </si>
  <si>
    <t>PROD204</t>
  </si>
  <si>
    <t>Rubik's Cube 3x3 Original</t>
  </si>
  <si>
    <t>Hungary</t>
  </si>
  <si>
    <t>PROD205</t>
  </si>
  <si>
    <t>Transformers Optimus Prime</t>
  </si>
  <si>
    <t>PROD206</t>
  </si>
  <si>
    <t>Philips Air Fryer HD9252/90 4.1L</t>
  </si>
  <si>
    <t>Netherlands</t>
  </si>
  <si>
    <t>PROD207</t>
  </si>
  <si>
    <t>Philips Daily Collection Kettle</t>
  </si>
  <si>
    <t>PROD208</t>
  </si>
  <si>
    <t>Tefal Frying Pan 26cm Non-Stick</t>
  </si>
  <si>
    <t>PROD209</t>
  </si>
  <si>
    <t>Tefal Induction Cookware Set</t>
  </si>
  <si>
    <t>PROD210</t>
  </si>
  <si>
    <t>Pyrex Glass Bowl Set 3pcs</t>
  </si>
  <si>
    <t>PROD211</t>
  </si>
  <si>
    <t>Tupperware Storage Container Set</t>
  </si>
  <si>
    <t>PROD212</t>
  </si>
  <si>
    <t>OXO Good Grips Kitchen Tools</t>
  </si>
  <si>
    <t>PROD213</t>
  </si>
  <si>
    <t>KitchenAid Stand Mixer Classic</t>
  </si>
  <si>
    <t>PROD214</t>
  </si>
  <si>
    <t>Dyson V11 Vacuum Cleaner</t>
  </si>
  <si>
    <t>PROD215</t>
  </si>
  <si>
    <t>iRobot Roomba Vacuum Robot</t>
  </si>
  <si>
    <t>Product Compliance Dashboard - 215 Products</t>
  </si>
  <si>
    <t>Total Products</t>
  </si>
  <si>
    <t>✓ Approved</t>
  </si>
  <si>
    <t>⏳ Pending</t>
  </si>
  <si>
    <t>✗ Rejected</t>
  </si>
  <si>
    <t>🔄 Re-submit</t>
  </si>
  <si>
    <t>Avg Days</t>
  </si>
  <si>
    <t>Product Distribution:</t>
  </si>
  <si>
    <t>Indian Products:</t>
  </si>
  <si>
    <t>Foreign Products: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</si>
</sst>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Cambria"/>
      <charset val="1"/>
    </font>
    <font>
      <b/>
      <sz val="11"/>
      <color rgb="FF7F4000"/>
      <name val="Cambria"/>
      <charset val="1"/>
    </font>
    <font>
      <b/>
      <sz val="11"/>
      <color rgb="FF9C5700"/>
      <name val="Cambria"/>
      <charset val="1"/>
    </font>
    <font>
      <b/>
      <sz val="11"/>
      <color rgb="FF006100"/>
      <name val="Cambria"/>
      <charset val="1"/>
    </font>
    <font>
      <b/>
      <sz val="11"/>
      <color rgb="FF9C0006"/>
      <name val="Cambria"/>
      <charset val="1"/>
    </font>
    <font>
      <b/>
      <sz val="16"/>
      <color rgb="FFFFFFFF"/>
      <name val="Cambria"/>
      <charset val="1"/>
    </font>
    <font>
      <b/>
      <sz val="11"/>
      <name val="Cambria"/>
      <charset val="1"/>
    </font>
    <font>
      <b/>
      <sz val="14"/>
      <color rgb="FF1F4E78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D9B3"/>
        <bgColor rgb="FFFFEB9C"/>
      </patternFill>
    </fill>
    <fill>
      <patternFill patternType="solid">
        <fgColor rgb="FFFFEB9C"/>
        <bgColor rgb="FFFFD9B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D9B3"/>
      </patternFill>
    </fill>
    <fill>
      <patternFill patternType="solid">
        <fgColor rgb="FFFF66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C00000"/>
        <bgColor rgb="FF9C000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5">
    <xf numFmtId="0" fontId="0" fillId="0" borderId="0" xfId="0"/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0" fillId="6" borderId="0" xfId="0" applyFill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40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Compliance</a:t>
            </a:r>
            <a:r>
              <a:rPr lang="en-IN" baseline="0"/>
              <a:t> Status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Dashboard!$A$4:$A$7</c:f>
              <c:strCache>
                <c:ptCount val="4"/>
                <c:pt idx="0">
                  <c:v>✓ Approved</c:v>
                </c:pt>
                <c:pt idx="1">
                  <c:v>⏳ Pending</c:v>
                </c:pt>
                <c:pt idx="2">
                  <c:v>✗ Rejected</c:v>
                </c:pt>
                <c:pt idx="3">
                  <c:v>🔄 Re-submit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76</c:v>
                </c:pt>
                <c:pt idx="1">
                  <c:v>35</c:v>
                </c:pt>
                <c:pt idx="2">
                  <c:v>45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4-4299-A52D-CFCD43DD6A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Distribution by Origin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09795002349795E-2"/>
          <c:y val="0.17753795862037722"/>
          <c:w val="0.79404232647327144"/>
          <c:h val="0.721780106171744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Dashboard!$A$12:$A$13</c:f>
              <c:strCache>
                <c:ptCount val="2"/>
                <c:pt idx="0">
                  <c:v>Indian Products:</c:v>
                </c:pt>
                <c:pt idx="1">
                  <c:v>Foreign Products:</c:v>
                </c:pt>
              </c:strCache>
            </c:strRef>
          </c:cat>
          <c:val>
            <c:numRef>
              <c:f>Dashboard!$B$12:$B$13</c:f>
              <c:numCache>
                <c:formatCode>General</c:formatCode>
                <c:ptCount val="2"/>
                <c:pt idx="0">
                  <c:v>110</c:v>
                </c:pt>
                <c:pt idx="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D-4FA2-9E2E-4B3EEEE21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990319"/>
        <c:axId val="952992239"/>
      </c:barChart>
      <c:catAx>
        <c:axId val="95299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92239"/>
        <c:crosses val="autoZero"/>
        <c:auto val="1"/>
        <c:lblAlgn val="ctr"/>
        <c:lblOffset val="100"/>
        <c:noMultiLvlLbl val="0"/>
      </c:catAx>
      <c:valAx>
        <c:axId val="9529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9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21430</xdr:colOff>
      <xdr:row>0</xdr:row>
      <xdr:rowOff>4764</xdr:rowOff>
    </xdr:from>
    <xdr:to>
      <xdr:col>13</xdr:col>
      <xdr:colOff>42862</xdr:colOff>
      <xdr:row>13</xdr:row>
      <xdr:rowOff>14289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49CE7-3231-C6E1-0858-0BD0D17FA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45243</xdr:colOff>
      <xdr:row>0</xdr:row>
      <xdr:rowOff>4763</xdr:rowOff>
    </xdr:from>
    <xdr:to>
      <xdr:col>19</xdr:col>
      <xdr:colOff>309563</xdr:colOff>
      <xdr:row>10</xdr:row>
      <xdr:rowOff>128589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455B4-8C00-3369-AA44-3270A865C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"/>
  <sheetViews>
    <sheetView zoomScaleNormal="100" workbookViewId="0"/>
  </sheetViews>
  <sheetFormatPr defaultColWidth="8.6640625" defaultRowHeight="14.25" x14ac:dyDescent="0.45"/>
  <cols>
    <col min="1" max="1" width="12" customWidth="1"/>
    <col min="2" max="2" width="40" customWidth="1"/>
    <col min="3" max="3" width="20" customWidth="1"/>
    <col min="4" max="4" width="18" customWidth="1"/>
    <col min="5" max="5" width="22" customWidth="1"/>
    <col min="6" max="6" width="20" customWidth="1"/>
    <col min="7" max="7" width="15" customWidth="1"/>
    <col min="8" max="8" width="18" customWidth="1"/>
    <col min="9" max="9" width="12" customWidth="1"/>
    <col min="10" max="11" width="15" customWidth="1"/>
    <col min="12" max="12" width="45" customWidth="1"/>
  </cols>
  <sheetData>
    <row r="1" spans="1:12" ht="2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15</v>
      </c>
      <c r="K2" s="3">
        <v>34999</v>
      </c>
      <c r="L2" s="3" t="s">
        <v>21</v>
      </c>
    </row>
    <row r="3" spans="1:12" x14ac:dyDescent="0.45">
      <c r="A3" s="3" t="s">
        <v>22</v>
      </c>
      <c r="B3" s="3" t="s">
        <v>23</v>
      </c>
      <c r="C3" s="3" t="s">
        <v>14</v>
      </c>
      <c r="D3" s="3" t="s">
        <v>15</v>
      </c>
      <c r="E3" s="5" t="s">
        <v>24</v>
      </c>
      <c r="F3" s="3" t="s">
        <v>17</v>
      </c>
      <c r="G3" s="3" t="s">
        <v>25</v>
      </c>
      <c r="H3" s="3" t="s">
        <v>26</v>
      </c>
      <c r="I3" s="3" t="s">
        <v>27</v>
      </c>
      <c r="J3" s="3">
        <v>11</v>
      </c>
      <c r="K3" s="3">
        <v>19999</v>
      </c>
      <c r="L3" s="3" t="s">
        <v>28</v>
      </c>
    </row>
    <row r="4" spans="1:12" x14ac:dyDescent="0.45">
      <c r="A4" s="3" t="s">
        <v>29</v>
      </c>
      <c r="B4" s="3" t="s">
        <v>30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31</v>
      </c>
      <c r="H4" s="3" t="s">
        <v>32</v>
      </c>
      <c r="I4" s="3" t="s">
        <v>27</v>
      </c>
      <c r="J4" s="3">
        <v>16</v>
      </c>
      <c r="K4" s="3">
        <v>1299</v>
      </c>
      <c r="L4" s="3" t="s">
        <v>33</v>
      </c>
    </row>
    <row r="5" spans="1:12" x14ac:dyDescent="0.45">
      <c r="A5" s="3" t="s">
        <v>34</v>
      </c>
      <c r="B5" s="3" t="s">
        <v>35</v>
      </c>
      <c r="C5" s="3" t="s">
        <v>14</v>
      </c>
      <c r="D5" s="3" t="s">
        <v>15</v>
      </c>
      <c r="E5" s="6" t="s">
        <v>36</v>
      </c>
      <c r="F5" s="3" t="s">
        <v>17</v>
      </c>
      <c r="G5" s="3" t="s">
        <v>37</v>
      </c>
      <c r="H5" s="3" t="s">
        <v>38</v>
      </c>
      <c r="I5" s="3" t="s">
        <v>20</v>
      </c>
      <c r="J5" s="3">
        <v>3</v>
      </c>
      <c r="K5" s="3">
        <v>1499</v>
      </c>
      <c r="L5" s="3" t="s">
        <v>39</v>
      </c>
    </row>
    <row r="6" spans="1:12" x14ac:dyDescent="0.45">
      <c r="A6" s="3" t="s">
        <v>40</v>
      </c>
      <c r="B6" s="3" t="s">
        <v>41</v>
      </c>
      <c r="C6" s="3" t="s">
        <v>14</v>
      </c>
      <c r="D6" s="3" t="s">
        <v>15</v>
      </c>
      <c r="E6" s="7" t="s">
        <v>42</v>
      </c>
      <c r="F6" s="3" t="s">
        <v>17</v>
      </c>
      <c r="G6" s="3" t="s">
        <v>43</v>
      </c>
      <c r="H6" s="3" t="s">
        <v>19</v>
      </c>
      <c r="I6" s="3" t="s">
        <v>27</v>
      </c>
      <c r="J6" s="3">
        <v>22</v>
      </c>
      <c r="K6" s="3">
        <v>1799</v>
      </c>
      <c r="L6" s="3" t="s">
        <v>33</v>
      </c>
    </row>
    <row r="7" spans="1:12" x14ac:dyDescent="0.45">
      <c r="A7" s="3" t="s">
        <v>44</v>
      </c>
      <c r="B7" s="3" t="s">
        <v>45</v>
      </c>
      <c r="C7" s="3" t="s">
        <v>14</v>
      </c>
      <c r="D7" s="3" t="s">
        <v>15</v>
      </c>
      <c r="E7" s="5" t="s">
        <v>24</v>
      </c>
      <c r="F7" s="3" t="s">
        <v>17</v>
      </c>
      <c r="G7" s="3" t="s">
        <v>46</v>
      </c>
      <c r="H7" s="3" t="s">
        <v>32</v>
      </c>
      <c r="I7" s="3" t="s">
        <v>27</v>
      </c>
      <c r="J7" s="3">
        <v>23</v>
      </c>
      <c r="K7" s="3">
        <v>2499</v>
      </c>
      <c r="L7" s="3" t="s">
        <v>28</v>
      </c>
    </row>
    <row r="8" spans="1:12" x14ac:dyDescent="0.45">
      <c r="A8" s="3" t="s">
        <v>47</v>
      </c>
      <c r="B8" s="3" t="s">
        <v>48</v>
      </c>
      <c r="C8" s="3" t="s">
        <v>14</v>
      </c>
      <c r="D8" s="3" t="s">
        <v>15</v>
      </c>
      <c r="E8" s="6" t="s">
        <v>36</v>
      </c>
      <c r="F8" s="3" t="s">
        <v>17</v>
      </c>
      <c r="G8" s="3" t="s">
        <v>49</v>
      </c>
      <c r="H8" s="3" t="s">
        <v>50</v>
      </c>
      <c r="I8" s="3" t="s">
        <v>20</v>
      </c>
      <c r="J8" s="3">
        <v>6</v>
      </c>
      <c r="K8" s="3">
        <v>999</v>
      </c>
      <c r="L8" s="3" t="s">
        <v>51</v>
      </c>
    </row>
    <row r="9" spans="1:12" x14ac:dyDescent="0.45">
      <c r="A9" s="3" t="s">
        <v>52</v>
      </c>
      <c r="B9" s="3" t="s">
        <v>53</v>
      </c>
      <c r="C9" s="3" t="s">
        <v>14</v>
      </c>
      <c r="D9" s="3" t="s">
        <v>15</v>
      </c>
      <c r="E9" s="6" t="s">
        <v>36</v>
      </c>
      <c r="F9" s="3" t="s">
        <v>17</v>
      </c>
      <c r="G9" s="3" t="s">
        <v>54</v>
      </c>
      <c r="H9" s="3" t="s">
        <v>38</v>
      </c>
      <c r="I9" s="3" t="s">
        <v>55</v>
      </c>
      <c r="J9" s="3">
        <v>7</v>
      </c>
      <c r="K9" s="3">
        <v>899</v>
      </c>
      <c r="L9" s="3" t="s">
        <v>39</v>
      </c>
    </row>
    <row r="10" spans="1:12" x14ac:dyDescent="0.45">
      <c r="A10" s="3" t="s">
        <v>56</v>
      </c>
      <c r="B10" s="3" t="s">
        <v>57</v>
      </c>
      <c r="C10" s="3" t="s">
        <v>14</v>
      </c>
      <c r="D10" s="3" t="s">
        <v>15</v>
      </c>
      <c r="E10" s="7" t="s">
        <v>42</v>
      </c>
      <c r="F10" s="3" t="s">
        <v>17</v>
      </c>
      <c r="G10" s="3" t="s">
        <v>58</v>
      </c>
      <c r="H10" s="3" t="s">
        <v>38</v>
      </c>
      <c r="I10" s="3" t="s">
        <v>27</v>
      </c>
      <c r="J10" s="3">
        <v>10</v>
      </c>
      <c r="K10" s="3">
        <v>17999</v>
      </c>
      <c r="L10" s="3" t="s">
        <v>39</v>
      </c>
    </row>
    <row r="11" spans="1:12" x14ac:dyDescent="0.45">
      <c r="A11" s="3" t="s">
        <v>59</v>
      </c>
      <c r="B11" s="3" t="s">
        <v>60</v>
      </c>
      <c r="C11" s="3" t="s">
        <v>14</v>
      </c>
      <c r="D11" s="3" t="s">
        <v>15</v>
      </c>
      <c r="E11" s="7" t="s">
        <v>42</v>
      </c>
      <c r="F11" s="3" t="s">
        <v>17</v>
      </c>
      <c r="G11" s="3" t="s">
        <v>61</v>
      </c>
      <c r="H11" s="3" t="s">
        <v>62</v>
      </c>
      <c r="I11" s="3" t="s">
        <v>27</v>
      </c>
      <c r="J11" s="3">
        <v>14</v>
      </c>
      <c r="K11" s="3">
        <v>27999</v>
      </c>
      <c r="L11" s="3" t="s">
        <v>63</v>
      </c>
    </row>
    <row r="12" spans="1:12" x14ac:dyDescent="0.45">
      <c r="A12" s="3" t="s">
        <v>64</v>
      </c>
      <c r="B12" s="3" t="s">
        <v>65</v>
      </c>
      <c r="C12" s="3" t="s">
        <v>14</v>
      </c>
      <c r="D12" s="3" t="s">
        <v>15</v>
      </c>
      <c r="E12" s="6" t="s">
        <v>36</v>
      </c>
      <c r="F12" s="3" t="s">
        <v>17</v>
      </c>
      <c r="G12" s="3" t="s">
        <v>66</v>
      </c>
      <c r="H12" s="3" t="s">
        <v>67</v>
      </c>
      <c r="I12" s="3" t="s">
        <v>55</v>
      </c>
      <c r="J12" s="3">
        <v>7</v>
      </c>
      <c r="K12" s="3">
        <v>1799</v>
      </c>
      <c r="L12" s="3" t="s">
        <v>51</v>
      </c>
    </row>
    <row r="13" spans="1:12" x14ac:dyDescent="0.45">
      <c r="A13" s="3" t="s">
        <v>68</v>
      </c>
      <c r="B13" s="3" t="s">
        <v>69</v>
      </c>
      <c r="C13" s="3" t="s">
        <v>14</v>
      </c>
      <c r="D13" s="3" t="s">
        <v>15</v>
      </c>
      <c r="E13" s="6" t="s">
        <v>36</v>
      </c>
      <c r="F13" s="3" t="s">
        <v>17</v>
      </c>
      <c r="G13" s="3" t="s">
        <v>70</v>
      </c>
      <c r="H13" s="3" t="s">
        <v>50</v>
      </c>
      <c r="I13" s="3" t="s">
        <v>55</v>
      </c>
      <c r="J13" s="3">
        <v>5</v>
      </c>
      <c r="K13" s="3">
        <v>2799</v>
      </c>
      <c r="L13" s="3" t="s">
        <v>39</v>
      </c>
    </row>
    <row r="14" spans="1:12" x14ac:dyDescent="0.45">
      <c r="A14" s="3" t="s">
        <v>71</v>
      </c>
      <c r="B14" s="3" t="s">
        <v>72</v>
      </c>
      <c r="C14" s="3" t="s">
        <v>14</v>
      </c>
      <c r="D14" s="3" t="s">
        <v>15</v>
      </c>
      <c r="E14" s="7" t="s">
        <v>42</v>
      </c>
      <c r="F14" s="3" t="s">
        <v>17</v>
      </c>
      <c r="G14" s="3" t="s">
        <v>73</v>
      </c>
      <c r="H14" s="3" t="s">
        <v>32</v>
      </c>
      <c r="I14" s="3" t="s">
        <v>27</v>
      </c>
      <c r="J14" s="3">
        <v>13</v>
      </c>
      <c r="K14" s="3">
        <v>699</v>
      </c>
      <c r="L14" s="3" t="s">
        <v>74</v>
      </c>
    </row>
    <row r="15" spans="1:12" x14ac:dyDescent="0.45">
      <c r="A15" s="3" t="s">
        <v>75</v>
      </c>
      <c r="B15" s="3" t="s">
        <v>76</v>
      </c>
      <c r="C15" s="3" t="s">
        <v>14</v>
      </c>
      <c r="D15" s="3" t="s">
        <v>15</v>
      </c>
      <c r="E15" s="4" t="s">
        <v>16</v>
      </c>
      <c r="F15" s="3" t="s">
        <v>17</v>
      </c>
      <c r="G15" s="3" t="s">
        <v>77</v>
      </c>
      <c r="H15" s="3" t="s">
        <v>50</v>
      </c>
      <c r="I15" s="3" t="s">
        <v>20</v>
      </c>
      <c r="J15" s="3">
        <v>13</v>
      </c>
      <c r="K15" s="3">
        <v>1299</v>
      </c>
      <c r="L15" s="3" t="s">
        <v>78</v>
      </c>
    </row>
    <row r="16" spans="1:12" x14ac:dyDescent="0.45">
      <c r="A16" s="3" t="s">
        <v>79</v>
      </c>
      <c r="B16" s="3" t="s">
        <v>80</v>
      </c>
      <c r="C16" s="3" t="s">
        <v>14</v>
      </c>
      <c r="D16" s="3" t="s">
        <v>15</v>
      </c>
      <c r="E16" s="6" t="s">
        <v>36</v>
      </c>
      <c r="F16" s="3" t="s">
        <v>17</v>
      </c>
      <c r="G16" s="3" t="s">
        <v>81</v>
      </c>
      <c r="H16" s="3" t="s">
        <v>38</v>
      </c>
      <c r="I16" s="3" t="s">
        <v>20</v>
      </c>
      <c r="J16" s="3">
        <v>6</v>
      </c>
      <c r="K16" s="3">
        <v>1399</v>
      </c>
      <c r="L16" s="3" t="s">
        <v>51</v>
      </c>
    </row>
    <row r="17" spans="1:12" x14ac:dyDescent="0.45">
      <c r="A17" s="3" t="s">
        <v>82</v>
      </c>
      <c r="B17" s="3" t="s">
        <v>83</v>
      </c>
      <c r="C17" s="3" t="s">
        <v>14</v>
      </c>
      <c r="D17" s="3" t="s">
        <v>15</v>
      </c>
      <c r="E17" s="4" t="s">
        <v>16</v>
      </c>
      <c r="F17" s="3" t="s">
        <v>17</v>
      </c>
      <c r="G17" s="3" t="s">
        <v>84</v>
      </c>
      <c r="H17" s="3" t="s">
        <v>62</v>
      </c>
      <c r="I17" s="3" t="s">
        <v>20</v>
      </c>
      <c r="J17" s="3">
        <v>12</v>
      </c>
      <c r="K17" s="3">
        <v>1699</v>
      </c>
      <c r="L17" s="3" t="s">
        <v>85</v>
      </c>
    </row>
    <row r="18" spans="1:12" x14ac:dyDescent="0.45">
      <c r="A18" s="3" t="s">
        <v>86</v>
      </c>
      <c r="B18" s="3" t="s">
        <v>87</v>
      </c>
      <c r="C18" s="3" t="s">
        <v>14</v>
      </c>
      <c r="D18" s="3" t="s">
        <v>15</v>
      </c>
      <c r="E18" s="4" t="s">
        <v>16</v>
      </c>
      <c r="F18" s="3" t="s">
        <v>17</v>
      </c>
      <c r="G18" s="3" t="s">
        <v>88</v>
      </c>
      <c r="H18" s="3" t="s">
        <v>19</v>
      </c>
      <c r="I18" s="3" t="s">
        <v>20</v>
      </c>
      <c r="J18" s="3">
        <v>25</v>
      </c>
      <c r="K18" s="3">
        <v>699</v>
      </c>
      <c r="L18" s="3" t="s">
        <v>63</v>
      </c>
    </row>
    <row r="19" spans="1:12" x14ac:dyDescent="0.45">
      <c r="A19" s="3" t="s">
        <v>89</v>
      </c>
      <c r="B19" s="3" t="s">
        <v>90</v>
      </c>
      <c r="C19" s="3" t="s">
        <v>14</v>
      </c>
      <c r="D19" s="3" t="s">
        <v>15</v>
      </c>
      <c r="E19" s="6" t="s">
        <v>36</v>
      </c>
      <c r="F19" s="3" t="s">
        <v>17</v>
      </c>
      <c r="G19" s="3" t="s">
        <v>91</v>
      </c>
      <c r="H19" s="3" t="s">
        <v>62</v>
      </c>
      <c r="I19" s="3" t="s">
        <v>55</v>
      </c>
      <c r="J19" s="3">
        <v>9</v>
      </c>
      <c r="K19" s="3">
        <v>399</v>
      </c>
      <c r="L19" s="3" t="s">
        <v>39</v>
      </c>
    </row>
    <row r="20" spans="1:12" x14ac:dyDescent="0.45">
      <c r="A20" s="3" t="s">
        <v>92</v>
      </c>
      <c r="B20" s="3" t="s">
        <v>93</v>
      </c>
      <c r="C20" s="3" t="s">
        <v>14</v>
      </c>
      <c r="D20" s="3" t="s">
        <v>15</v>
      </c>
      <c r="E20" s="5" t="s">
        <v>24</v>
      </c>
      <c r="F20" s="3" t="s">
        <v>17</v>
      </c>
      <c r="G20" s="3" t="s">
        <v>94</v>
      </c>
      <c r="H20" s="3" t="s">
        <v>95</v>
      </c>
      <c r="I20" s="3" t="s">
        <v>27</v>
      </c>
      <c r="J20" s="3">
        <v>25</v>
      </c>
      <c r="K20" s="3">
        <v>1199</v>
      </c>
      <c r="L20" s="3" t="s">
        <v>39</v>
      </c>
    </row>
    <row r="21" spans="1:12" x14ac:dyDescent="0.45">
      <c r="A21" s="3" t="s">
        <v>96</v>
      </c>
      <c r="B21" s="3" t="s">
        <v>97</v>
      </c>
      <c r="C21" s="3" t="s">
        <v>14</v>
      </c>
      <c r="D21" s="3" t="s">
        <v>15</v>
      </c>
      <c r="E21" s="4" t="s">
        <v>16</v>
      </c>
      <c r="F21" s="3" t="s">
        <v>17</v>
      </c>
      <c r="G21" s="3" t="s">
        <v>98</v>
      </c>
      <c r="H21" s="3" t="s">
        <v>67</v>
      </c>
      <c r="I21" s="3" t="s">
        <v>27</v>
      </c>
      <c r="J21" s="3">
        <v>29</v>
      </c>
      <c r="K21" s="3">
        <v>799</v>
      </c>
      <c r="L21" s="3" t="s">
        <v>74</v>
      </c>
    </row>
    <row r="22" spans="1:12" x14ac:dyDescent="0.45">
      <c r="A22" s="3" t="s">
        <v>99</v>
      </c>
      <c r="B22" s="3" t="s">
        <v>100</v>
      </c>
      <c r="C22" s="3" t="s">
        <v>14</v>
      </c>
      <c r="D22" s="3" t="s">
        <v>15</v>
      </c>
      <c r="E22" s="4" t="s">
        <v>16</v>
      </c>
      <c r="F22" s="3" t="s">
        <v>17</v>
      </c>
      <c r="G22" s="3" t="s">
        <v>101</v>
      </c>
      <c r="H22" s="3" t="s">
        <v>95</v>
      </c>
      <c r="I22" s="3" t="s">
        <v>20</v>
      </c>
      <c r="J22" s="3">
        <v>25</v>
      </c>
      <c r="K22" s="3">
        <v>2499</v>
      </c>
      <c r="L22" s="3" t="s">
        <v>85</v>
      </c>
    </row>
    <row r="23" spans="1:12" x14ac:dyDescent="0.45">
      <c r="A23" s="3" t="s">
        <v>102</v>
      </c>
      <c r="B23" s="3" t="s">
        <v>103</v>
      </c>
      <c r="C23" s="3" t="s">
        <v>14</v>
      </c>
      <c r="D23" s="3" t="s">
        <v>15</v>
      </c>
      <c r="E23" s="7" t="s">
        <v>42</v>
      </c>
      <c r="F23" s="3" t="s">
        <v>17</v>
      </c>
      <c r="G23" s="3" t="s">
        <v>104</v>
      </c>
      <c r="H23" s="3" t="s">
        <v>62</v>
      </c>
      <c r="I23" s="3" t="s">
        <v>27</v>
      </c>
      <c r="J23" s="3">
        <v>13</v>
      </c>
      <c r="K23" s="3">
        <v>1299</v>
      </c>
      <c r="L23" s="3" t="s">
        <v>105</v>
      </c>
    </row>
    <row r="24" spans="1:12" x14ac:dyDescent="0.45">
      <c r="A24" s="3" t="s">
        <v>106</v>
      </c>
      <c r="B24" s="3" t="s">
        <v>107</v>
      </c>
      <c r="C24" s="3" t="s">
        <v>14</v>
      </c>
      <c r="D24" s="3" t="s">
        <v>15</v>
      </c>
      <c r="E24" s="6" t="s">
        <v>36</v>
      </c>
      <c r="F24" s="3" t="s">
        <v>17</v>
      </c>
      <c r="G24" s="3" t="s">
        <v>108</v>
      </c>
      <c r="H24" s="3" t="s">
        <v>50</v>
      </c>
      <c r="I24" s="3" t="s">
        <v>20</v>
      </c>
      <c r="J24" s="3">
        <v>3</v>
      </c>
      <c r="K24" s="3">
        <v>12499</v>
      </c>
      <c r="L24" s="3" t="s">
        <v>51</v>
      </c>
    </row>
    <row r="25" spans="1:12" x14ac:dyDescent="0.45">
      <c r="A25" s="3" t="s">
        <v>109</v>
      </c>
      <c r="B25" s="3" t="s">
        <v>110</v>
      </c>
      <c r="C25" s="3" t="s">
        <v>14</v>
      </c>
      <c r="D25" s="3" t="s">
        <v>15</v>
      </c>
      <c r="E25" s="4" t="s">
        <v>16</v>
      </c>
      <c r="F25" s="3" t="s">
        <v>17</v>
      </c>
      <c r="G25" s="3" t="s">
        <v>111</v>
      </c>
      <c r="H25" s="3" t="s">
        <v>67</v>
      </c>
      <c r="I25" s="3" t="s">
        <v>27</v>
      </c>
      <c r="J25" s="3">
        <v>15</v>
      </c>
      <c r="K25" s="3">
        <v>10999</v>
      </c>
      <c r="L25" s="3" t="s">
        <v>105</v>
      </c>
    </row>
    <row r="26" spans="1:12" x14ac:dyDescent="0.45">
      <c r="A26" s="3" t="s">
        <v>112</v>
      </c>
      <c r="B26" s="3" t="s">
        <v>113</v>
      </c>
      <c r="C26" s="3" t="s">
        <v>14</v>
      </c>
      <c r="D26" s="3" t="s">
        <v>15</v>
      </c>
      <c r="E26" s="6" t="s">
        <v>36</v>
      </c>
      <c r="F26" s="3" t="s">
        <v>17</v>
      </c>
      <c r="G26" s="3" t="s">
        <v>114</v>
      </c>
      <c r="H26" s="3" t="s">
        <v>38</v>
      </c>
      <c r="I26" s="3" t="s">
        <v>55</v>
      </c>
      <c r="J26" s="3">
        <v>6</v>
      </c>
      <c r="K26" s="3">
        <v>4999</v>
      </c>
      <c r="L26" s="3" t="s">
        <v>39</v>
      </c>
    </row>
    <row r="27" spans="1:12" x14ac:dyDescent="0.45">
      <c r="A27" s="3" t="s">
        <v>115</v>
      </c>
      <c r="B27" s="3" t="s">
        <v>116</v>
      </c>
      <c r="C27" s="3" t="s">
        <v>14</v>
      </c>
      <c r="D27" s="3" t="s">
        <v>15</v>
      </c>
      <c r="E27" s="4" t="s">
        <v>16</v>
      </c>
      <c r="F27" s="3" t="s">
        <v>17</v>
      </c>
      <c r="G27" s="3" t="s">
        <v>108</v>
      </c>
      <c r="H27" s="3" t="s">
        <v>19</v>
      </c>
      <c r="I27" s="3" t="s">
        <v>27</v>
      </c>
      <c r="J27" s="3">
        <v>17</v>
      </c>
      <c r="K27" s="3">
        <v>11999</v>
      </c>
      <c r="L27" s="3" t="s">
        <v>105</v>
      </c>
    </row>
    <row r="28" spans="1:12" x14ac:dyDescent="0.45">
      <c r="A28" s="3" t="s">
        <v>117</v>
      </c>
      <c r="B28" s="3" t="s">
        <v>118</v>
      </c>
      <c r="C28" s="3" t="s">
        <v>14</v>
      </c>
      <c r="D28" s="3" t="s">
        <v>15</v>
      </c>
      <c r="E28" s="7" t="s">
        <v>42</v>
      </c>
      <c r="F28" s="3" t="s">
        <v>17</v>
      </c>
      <c r="G28" s="3" t="s">
        <v>81</v>
      </c>
      <c r="H28" s="3" t="s">
        <v>62</v>
      </c>
      <c r="I28" s="3" t="s">
        <v>27</v>
      </c>
      <c r="J28" s="3">
        <v>16</v>
      </c>
      <c r="K28" s="3">
        <v>299</v>
      </c>
      <c r="L28" s="3" t="s">
        <v>119</v>
      </c>
    </row>
    <row r="29" spans="1:12" x14ac:dyDescent="0.45">
      <c r="A29" s="3" t="s">
        <v>120</v>
      </c>
      <c r="B29" s="3" t="s">
        <v>121</v>
      </c>
      <c r="C29" s="3" t="s">
        <v>14</v>
      </c>
      <c r="D29" s="3" t="s">
        <v>15</v>
      </c>
      <c r="E29" s="6" t="s">
        <v>36</v>
      </c>
      <c r="F29" s="3" t="s">
        <v>17</v>
      </c>
      <c r="G29" s="3" t="s">
        <v>122</v>
      </c>
      <c r="H29" s="3" t="s">
        <v>50</v>
      </c>
      <c r="I29" s="3" t="s">
        <v>20</v>
      </c>
      <c r="J29" s="3">
        <v>9</v>
      </c>
      <c r="K29" s="3">
        <v>149</v>
      </c>
      <c r="L29" s="3" t="s">
        <v>39</v>
      </c>
    </row>
    <row r="30" spans="1:12" x14ac:dyDescent="0.45">
      <c r="A30" s="3" t="s">
        <v>123</v>
      </c>
      <c r="B30" s="3" t="s">
        <v>124</v>
      </c>
      <c r="C30" s="3" t="s">
        <v>14</v>
      </c>
      <c r="D30" s="3" t="s">
        <v>15</v>
      </c>
      <c r="E30" s="4" t="s">
        <v>16</v>
      </c>
      <c r="F30" s="3" t="s">
        <v>17</v>
      </c>
      <c r="G30" s="3" t="s">
        <v>125</v>
      </c>
      <c r="H30" s="3" t="s">
        <v>67</v>
      </c>
      <c r="I30" s="3" t="s">
        <v>20</v>
      </c>
      <c r="J30" s="3">
        <v>12</v>
      </c>
      <c r="K30" s="3">
        <v>1899</v>
      </c>
      <c r="L30" s="3" t="s">
        <v>126</v>
      </c>
    </row>
    <row r="31" spans="1:12" x14ac:dyDescent="0.45">
      <c r="A31" s="3" t="s">
        <v>127</v>
      </c>
      <c r="B31" s="3" t="s">
        <v>128</v>
      </c>
      <c r="C31" s="3" t="s">
        <v>14</v>
      </c>
      <c r="D31" s="3" t="s">
        <v>15</v>
      </c>
      <c r="E31" s="5" t="s">
        <v>24</v>
      </c>
      <c r="F31" s="3" t="s">
        <v>17</v>
      </c>
      <c r="G31" s="3" t="s">
        <v>129</v>
      </c>
      <c r="H31" s="3" t="s">
        <v>19</v>
      </c>
      <c r="I31" s="3" t="s">
        <v>20</v>
      </c>
      <c r="J31" s="3">
        <v>25</v>
      </c>
      <c r="K31" s="3">
        <v>2199</v>
      </c>
      <c r="L31" s="3" t="s">
        <v>130</v>
      </c>
    </row>
    <row r="32" spans="1:12" x14ac:dyDescent="0.45">
      <c r="A32" s="3" t="s">
        <v>131</v>
      </c>
      <c r="B32" s="3" t="s">
        <v>132</v>
      </c>
      <c r="C32" s="3" t="s">
        <v>133</v>
      </c>
      <c r="D32" s="3" t="s">
        <v>15</v>
      </c>
      <c r="E32" s="4" t="s">
        <v>16</v>
      </c>
      <c r="F32" s="3" t="s">
        <v>134</v>
      </c>
      <c r="G32" s="3" t="s">
        <v>135</v>
      </c>
      <c r="H32" s="3" t="s">
        <v>32</v>
      </c>
      <c r="I32" s="3" t="s">
        <v>27</v>
      </c>
      <c r="J32" s="3">
        <v>25</v>
      </c>
      <c r="K32" s="3">
        <v>45</v>
      </c>
      <c r="L32" s="3" t="s">
        <v>136</v>
      </c>
    </row>
    <row r="33" spans="1:12" x14ac:dyDescent="0.45">
      <c r="A33" s="3" t="s">
        <v>137</v>
      </c>
      <c r="B33" s="3" t="s">
        <v>138</v>
      </c>
      <c r="C33" s="3" t="s">
        <v>133</v>
      </c>
      <c r="D33" s="3" t="s">
        <v>15</v>
      </c>
      <c r="E33" s="4" t="s">
        <v>16</v>
      </c>
      <c r="F33" s="3" t="s">
        <v>134</v>
      </c>
      <c r="G33" s="3" t="s">
        <v>139</v>
      </c>
      <c r="H33" s="3" t="s">
        <v>50</v>
      </c>
      <c r="I33" s="3" t="s">
        <v>27</v>
      </c>
      <c r="J33" s="3">
        <v>30</v>
      </c>
      <c r="K33" s="3">
        <v>52</v>
      </c>
      <c r="L33" s="3" t="s">
        <v>39</v>
      </c>
    </row>
    <row r="34" spans="1:12" x14ac:dyDescent="0.45">
      <c r="A34" s="3" t="s">
        <v>140</v>
      </c>
      <c r="B34" s="3" t="s">
        <v>141</v>
      </c>
      <c r="C34" s="3" t="s">
        <v>133</v>
      </c>
      <c r="D34" s="3" t="s">
        <v>15</v>
      </c>
      <c r="E34" s="4" t="s">
        <v>16</v>
      </c>
      <c r="F34" s="3" t="s">
        <v>134</v>
      </c>
      <c r="G34" s="3" t="s">
        <v>66</v>
      </c>
      <c r="H34" s="3" t="s">
        <v>19</v>
      </c>
      <c r="I34" s="3" t="s">
        <v>20</v>
      </c>
      <c r="J34" s="3">
        <v>27</v>
      </c>
      <c r="K34" s="3">
        <v>85</v>
      </c>
      <c r="L34" s="3" t="s">
        <v>33</v>
      </c>
    </row>
    <row r="35" spans="1:12" x14ac:dyDescent="0.45">
      <c r="A35" s="3" t="s">
        <v>142</v>
      </c>
      <c r="B35" s="3" t="s">
        <v>143</v>
      </c>
      <c r="C35" s="3" t="s">
        <v>133</v>
      </c>
      <c r="D35" s="3" t="s">
        <v>15</v>
      </c>
      <c r="E35" s="5" t="s">
        <v>24</v>
      </c>
      <c r="F35" s="3" t="s">
        <v>134</v>
      </c>
      <c r="G35" s="3" t="s">
        <v>144</v>
      </c>
      <c r="H35" s="3" t="s">
        <v>62</v>
      </c>
      <c r="I35" s="3" t="s">
        <v>20</v>
      </c>
      <c r="J35" s="3">
        <v>6</v>
      </c>
      <c r="K35" s="3">
        <v>65</v>
      </c>
      <c r="L35" s="3" t="s">
        <v>145</v>
      </c>
    </row>
    <row r="36" spans="1:12" x14ac:dyDescent="0.45">
      <c r="A36" s="3" t="s">
        <v>146</v>
      </c>
      <c r="B36" s="3" t="s">
        <v>147</v>
      </c>
      <c r="C36" s="3" t="s">
        <v>133</v>
      </c>
      <c r="D36" s="3" t="s">
        <v>15</v>
      </c>
      <c r="E36" s="5" t="s">
        <v>24</v>
      </c>
      <c r="F36" s="3" t="s">
        <v>134</v>
      </c>
      <c r="G36" s="3" t="s">
        <v>148</v>
      </c>
      <c r="H36" s="3" t="s">
        <v>26</v>
      </c>
      <c r="I36" s="3" t="s">
        <v>27</v>
      </c>
      <c r="J36" s="3">
        <v>18</v>
      </c>
      <c r="K36" s="3">
        <v>285</v>
      </c>
      <c r="L36" s="3" t="s">
        <v>74</v>
      </c>
    </row>
    <row r="37" spans="1:12" x14ac:dyDescent="0.45">
      <c r="A37" s="3" t="s">
        <v>149</v>
      </c>
      <c r="B37" s="3" t="s">
        <v>150</v>
      </c>
      <c r="C37" s="3" t="s">
        <v>133</v>
      </c>
      <c r="D37" s="3" t="s">
        <v>15</v>
      </c>
      <c r="E37" s="7" t="s">
        <v>42</v>
      </c>
      <c r="F37" s="3" t="s">
        <v>134</v>
      </c>
      <c r="G37" s="3" t="s">
        <v>37</v>
      </c>
      <c r="H37" s="3" t="s">
        <v>26</v>
      </c>
      <c r="I37" s="3" t="s">
        <v>27</v>
      </c>
      <c r="J37" s="3">
        <v>11</v>
      </c>
      <c r="K37" s="3">
        <v>135</v>
      </c>
      <c r="L37" s="3" t="s">
        <v>33</v>
      </c>
    </row>
    <row r="38" spans="1:12" x14ac:dyDescent="0.45">
      <c r="A38" s="3" t="s">
        <v>151</v>
      </c>
      <c r="B38" s="3" t="s">
        <v>152</v>
      </c>
      <c r="C38" s="3" t="s">
        <v>133</v>
      </c>
      <c r="D38" s="3" t="s">
        <v>15</v>
      </c>
      <c r="E38" s="6" t="s">
        <v>36</v>
      </c>
      <c r="F38" s="3" t="s">
        <v>134</v>
      </c>
      <c r="G38" s="3" t="s">
        <v>153</v>
      </c>
      <c r="H38" s="3" t="s">
        <v>95</v>
      </c>
      <c r="I38" s="3" t="s">
        <v>20</v>
      </c>
      <c r="J38" s="3">
        <v>9</v>
      </c>
      <c r="K38" s="3">
        <v>62</v>
      </c>
      <c r="L38" s="3" t="s">
        <v>51</v>
      </c>
    </row>
    <row r="39" spans="1:12" x14ac:dyDescent="0.45">
      <c r="A39" s="3" t="s">
        <v>154</v>
      </c>
      <c r="B39" s="3" t="s">
        <v>155</v>
      </c>
      <c r="C39" s="3" t="s">
        <v>133</v>
      </c>
      <c r="D39" s="3" t="s">
        <v>15</v>
      </c>
      <c r="E39" s="4" t="s">
        <v>16</v>
      </c>
      <c r="F39" s="3" t="s">
        <v>134</v>
      </c>
      <c r="G39" s="3" t="s">
        <v>156</v>
      </c>
      <c r="H39" s="3" t="s">
        <v>62</v>
      </c>
      <c r="I39" s="3" t="s">
        <v>20</v>
      </c>
      <c r="J39" s="3">
        <v>27</v>
      </c>
      <c r="K39" s="3">
        <v>335</v>
      </c>
      <c r="L39" s="3" t="s">
        <v>136</v>
      </c>
    </row>
    <row r="40" spans="1:12" x14ac:dyDescent="0.45">
      <c r="A40" s="3" t="s">
        <v>157</v>
      </c>
      <c r="B40" s="3" t="s">
        <v>158</v>
      </c>
      <c r="C40" s="3" t="s">
        <v>133</v>
      </c>
      <c r="D40" s="3" t="s">
        <v>15</v>
      </c>
      <c r="E40" s="6" t="s">
        <v>36</v>
      </c>
      <c r="F40" s="3" t="s">
        <v>134</v>
      </c>
      <c r="G40" s="3" t="s">
        <v>159</v>
      </c>
      <c r="H40" s="3" t="s">
        <v>32</v>
      </c>
      <c r="I40" s="3" t="s">
        <v>20</v>
      </c>
      <c r="J40" s="3">
        <v>7</v>
      </c>
      <c r="K40" s="3">
        <v>120</v>
      </c>
      <c r="L40" s="3" t="s">
        <v>51</v>
      </c>
    </row>
    <row r="41" spans="1:12" x14ac:dyDescent="0.45">
      <c r="A41" s="3" t="s">
        <v>160</v>
      </c>
      <c r="B41" s="3" t="s">
        <v>161</v>
      </c>
      <c r="C41" s="3" t="s">
        <v>133</v>
      </c>
      <c r="D41" s="3" t="s">
        <v>15</v>
      </c>
      <c r="E41" s="4" t="s">
        <v>16</v>
      </c>
      <c r="F41" s="3" t="s">
        <v>134</v>
      </c>
      <c r="G41" s="3" t="s">
        <v>162</v>
      </c>
      <c r="H41" s="3" t="s">
        <v>67</v>
      </c>
      <c r="I41" s="3" t="s">
        <v>20</v>
      </c>
      <c r="J41" s="3">
        <v>13</v>
      </c>
      <c r="K41" s="3">
        <v>40</v>
      </c>
      <c r="L41" s="3" t="s">
        <v>163</v>
      </c>
    </row>
    <row r="42" spans="1:12" x14ac:dyDescent="0.45">
      <c r="A42" s="3" t="s">
        <v>164</v>
      </c>
      <c r="B42" s="3" t="s">
        <v>165</v>
      </c>
      <c r="C42" s="3" t="s">
        <v>133</v>
      </c>
      <c r="D42" s="3" t="s">
        <v>15</v>
      </c>
      <c r="E42" s="4" t="s">
        <v>16</v>
      </c>
      <c r="F42" s="3" t="s">
        <v>134</v>
      </c>
      <c r="G42" s="3" t="s">
        <v>129</v>
      </c>
      <c r="H42" s="3" t="s">
        <v>32</v>
      </c>
      <c r="I42" s="3" t="s">
        <v>20</v>
      </c>
      <c r="J42" s="3">
        <v>19</v>
      </c>
      <c r="K42" s="3">
        <v>35</v>
      </c>
      <c r="L42" s="3" t="s">
        <v>166</v>
      </c>
    </row>
    <row r="43" spans="1:12" x14ac:dyDescent="0.45">
      <c r="A43" s="3" t="s">
        <v>167</v>
      </c>
      <c r="B43" s="3" t="s">
        <v>168</v>
      </c>
      <c r="C43" s="3" t="s">
        <v>133</v>
      </c>
      <c r="D43" s="3" t="s">
        <v>15</v>
      </c>
      <c r="E43" s="7" t="s">
        <v>42</v>
      </c>
      <c r="F43" s="3" t="s">
        <v>134</v>
      </c>
      <c r="G43" s="3" t="s">
        <v>169</v>
      </c>
      <c r="H43" s="3" t="s">
        <v>62</v>
      </c>
      <c r="I43" s="3" t="s">
        <v>27</v>
      </c>
      <c r="J43" s="3">
        <v>29</v>
      </c>
      <c r="K43" s="3">
        <v>32</v>
      </c>
      <c r="L43" s="3" t="s">
        <v>39</v>
      </c>
    </row>
    <row r="44" spans="1:12" x14ac:dyDescent="0.45">
      <c r="A44" s="3" t="s">
        <v>170</v>
      </c>
      <c r="B44" s="3" t="s">
        <v>171</v>
      </c>
      <c r="C44" s="3" t="s">
        <v>133</v>
      </c>
      <c r="D44" s="3" t="s">
        <v>15</v>
      </c>
      <c r="E44" s="6" t="s">
        <v>36</v>
      </c>
      <c r="F44" s="3" t="s">
        <v>134</v>
      </c>
      <c r="G44" s="3" t="s">
        <v>172</v>
      </c>
      <c r="H44" s="3" t="s">
        <v>95</v>
      </c>
      <c r="I44" s="3" t="s">
        <v>55</v>
      </c>
      <c r="J44" s="3">
        <v>5</v>
      </c>
      <c r="K44" s="3">
        <v>425</v>
      </c>
      <c r="L44" s="3" t="s">
        <v>51</v>
      </c>
    </row>
    <row r="45" spans="1:12" x14ac:dyDescent="0.45">
      <c r="A45" s="3" t="s">
        <v>173</v>
      </c>
      <c r="B45" s="3" t="s">
        <v>174</v>
      </c>
      <c r="C45" s="3" t="s">
        <v>133</v>
      </c>
      <c r="D45" s="3" t="s">
        <v>15</v>
      </c>
      <c r="E45" s="6" t="s">
        <v>36</v>
      </c>
      <c r="F45" s="3" t="s">
        <v>134</v>
      </c>
      <c r="G45" s="3" t="s">
        <v>84</v>
      </c>
      <c r="H45" s="3" t="s">
        <v>50</v>
      </c>
      <c r="I45" s="3" t="s">
        <v>55</v>
      </c>
      <c r="J45" s="3">
        <v>8</v>
      </c>
      <c r="K45" s="3">
        <v>220</v>
      </c>
      <c r="L45" s="3" t="s">
        <v>51</v>
      </c>
    </row>
    <row r="46" spans="1:12" x14ac:dyDescent="0.45">
      <c r="A46" s="3" t="s">
        <v>175</v>
      </c>
      <c r="B46" s="3" t="s">
        <v>176</v>
      </c>
      <c r="C46" s="3" t="s">
        <v>133</v>
      </c>
      <c r="D46" s="3" t="s">
        <v>15</v>
      </c>
      <c r="E46" s="6" t="s">
        <v>36</v>
      </c>
      <c r="F46" s="3" t="s">
        <v>134</v>
      </c>
      <c r="G46" s="3" t="s">
        <v>177</v>
      </c>
      <c r="H46" s="3" t="s">
        <v>50</v>
      </c>
      <c r="I46" s="3" t="s">
        <v>55</v>
      </c>
      <c r="J46" s="3">
        <v>5</v>
      </c>
      <c r="K46" s="3">
        <v>395</v>
      </c>
      <c r="L46" s="3" t="s">
        <v>39</v>
      </c>
    </row>
    <row r="47" spans="1:12" x14ac:dyDescent="0.45">
      <c r="A47" s="3" t="s">
        <v>178</v>
      </c>
      <c r="B47" s="3" t="s">
        <v>179</v>
      </c>
      <c r="C47" s="3" t="s">
        <v>133</v>
      </c>
      <c r="D47" s="3" t="s">
        <v>15</v>
      </c>
      <c r="E47" s="4" t="s">
        <v>16</v>
      </c>
      <c r="F47" s="3" t="s">
        <v>134</v>
      </c>
      <c r="G47" s="3" t="s">
        <v>180</v>
      </c>
      <c r="H47" s="3" t="s">
        <v>38</v>
      </c>
      <c r="I47" s="3" t="s">
        <v>27</v>
      </c>
      <c r="J47" s="3">
        <v>13</v>
      </c>
      <c r="K47" s="3">
        <v>185</v>
      </c>
      <c r="L47" s="3" t="s">
        <v>85</v>
      </c>
    </row>
    <row r="48" spans="1:12" x14ac:dyDescent="0.45">
      <c r="A48" s="3" t="s">
        <v>181</v>
      </c>
      <c r="B48" s="3" t="s">
        <v>182</v>
      </c>
      <c r="C48" s="3" t="s">
        <v>133</v>
      </c>
      <c r="D48" s="3" t="s">
        <v>15</v>
      </c>
      <c r="E48" s="4" t="s">
        <v>16</v>
      </c>
      <c r="F48" s="3" t="s">
        <v>134</v>
      </c>
      <c r="G48" s="3" t="s">
        <v>183</v>
      </c>
      <c r="H48" s="3" t="s">
        <v>26</v>
      </c>
      <c r="I48" s="3" t="s">
        <v>27</v>
      </c>
      <c r="J48" s="3">
        <v>26</v>
      </c>
      <c r="K48" s="3">
        <v>299</v>
      </c>
      <c r="L48" s="3" t="s">
        <v>105</v>
      </c>
    </row>
    <row r="49" spans="1:12" x14ac:dyDescent="0.45">
      <c r="A49" s="3" t="s">
        <v>184</v>
      </c>
      <c r="B49" s="3" t="s">
        <v>185</v>
      </c>
      <c r="C49" s="3" t="s">
        <v>133</v>
      </c>
      <c r="D49" s="3" t="s">
        <v>15</v>
      </c>
      <c r="E49" s="7" t="s">
        <v>42</v>
      </c>
      <c r="F49" s="3" t="s">
        <v>134</v>
      </c>
      <c r="G49" s="3" t="s">
        <v>156</v>
      </c>
      <c r="H49" s="3" t="s">
        <v>67</v>
      </c>
      <c r="I49" s="3" t="s">
        <v>27</v>
      </c>
      <c r="J49" s="3">
        <v>28</v>
      </c>
      <c r="K49" s="3">
        <v>95</v>
      </c>
      <c r="L49" s="3" t="s">
        <v>39</v>
      </c>
    </row>
    <row r="50" spans="1:12" x14ac:dyDescent="0.45">
      <c r="A50" s="3" t="s">
        <v>186</v>
      </c>
      <c r="B50" s="3" t="s">
        <v>187</v>
      </c>
      <c r="C50" s="3" t="s">
        <v>133</v>
      </c>
      <c r="D50" s="3" t="s">
        <v>15</v>
      </c>
      <c r="E50" s="6" t="s">
        <v>36</v>
      </c>
      <c r="F50" s="3" t="s">
        <v>134</v>
      </c>
      <c r="G50" s="3" t="s">
        <v>188</v>
      </c>
      <c r="H50" s="3" t="s">
        <v>19</v>
      </c>
      <c r="I50" s="3" t="s">
        <v>20</v>
      </c>
      <c r="J50" s="3">
        <v>9</v>
      </c>
      <c r="K50" s="3">
        <v>55</v>
      </c>
      <c r="L50" s="3" t="s">
        <v>39</v>
      </c>
    </row>
    <row r="51" spans="1:12" x14ac:dyDescent="0.45">
      <c r="A51" s="3" t="s">
        <v>189</v>
      </c>
      <c r="B51" s="3" t="s">
        <v>190</v>
      </c>
      <c r="C51" s="3" t="s">
        <v>133</v>
      </c>
      <c r="D51" s="3" t="s">
        <v>15</v>
      </c>
      <c r="E51" s="6" t="s">
        <v>36</v>
      </c>
      <c r="F51" s="3" t="s">
        <v>134</v>
      </c>
      <c r="G51" s="3" t="s">
        <v>191</v>
      </c>
      <c r="H51" s="3" t="s">
        <v>26</v>
      </c>
      <c r="I51" s="3" t="s">
        <v>55</v>
      </c>
      <c r="J51" s="3">
        <v>10</v>
      </c>
      <c r="K51" s="3">
        <v>45</v>
      </c>
      <c r="L51" s="3" t="s">
        <v>39</v>
      </c>
    </row>
    <row r="52" spans="1:12" x14ac:dyDescent="0.45">
      <c r="A52" s="3" t="s">
        <v>192</v>
      </c>
      <c r="B52" s="3" t="s">
        <v>193</v>
      </c>
      <c r="C52" s="3" t="s">
        <v>133</v>
      </c>
      <c r="D52" s="3" t="s">
        <v>15</v>
      </c>
      <c r="E52" s="5" t="s">
        <v>24</v>
      </c>
      <c r="F52" s="3" t="s">
        <v>134</v>
      </c>
      <c r="G52" s="3" t="s">
        <v>88</v>
      </c>
      <c r="H52" s="3" t="s">
        <v>26</v>
      </c>
      <c r="I52" s="3" t="s">
        <v>20</v>
      </c>
      <c r="J52" s="3">
        <v>24</v>
      </c>
      <c r="K52" s="3">
        <v>115</v>
      </c>
      <c r="L52" s="3" t="s">
        <v>21</v>
      </c>
    </row>
    <row r="53" spans="1:12" x14ac:dyDescent="0.45">
      <c r="A53" s="3" t="s">
        <v>194</v>
      </c>
      <c r="B53" s="3" t="s">
        <v>195</v>
      </c>
      <c r="C53" s="3" t="s">
        <v>133</v>
      </c>
      <c r="D53" s="3" t="s">
        <v>15</v>
      </c>
      <c r="E53" s="6" t="s">
        <v>36</v>
      </c>
      <c r="F53" s="3" t="s">
        <v>134</v>
      </c>
      <c r="G53" s="3" t="s">
        <v>196</v>
      </c>
      <c r="H53" s="3" t="s">
        <v>32</v>
      </c>
      <c r="I53" s="3" t="s">
        <v>20</v>
      </c>
      <c r="J53" s="3">
        <v>6</v>
      </c>
      <c r="K53" s="3">
        <v>85</v>
      </c>
      <c r="L53" s="3" t="s">
        <v>39</v>
      </c>
    </row>
    <row r="54" spans="1:12" x14ac:dyDescent="0.45">
      <c r="A54" s="3" t="s">
        <v>197</v>
      </c>
      <c r="B54" s="3" t="s">
        <v>198</v>
      </c>
      <c r="C54" s="3" t="s">
        <v>133</v>
      </c>
      <c r="D54" s="3" t="s">
        <v>15</v>
      </c>
      <c r="E54" s="6" t="s">
        <v>36</v>
      </c>
      <c r="F54" s="3" t="s">
        <v>134</v>
      </c>
      <c r="G54" s="3" t="s">
        <v>66</v>
      </c>
      <c r="H54" s="3" t="s">
        <v>67</v>
      </c>
      <c r="I54" s="3" t="s">
        <v>55</v>
      </c>
      <c r="J54" s="3">
        <v>10</v>
      </c>
      <c r="K54" s="3">
        <v>165</v>
      </c>
      <c r="L54" s="3" t="s">
        <v>39</v>
      </c>
    </row>
    <row r="55" spans="1:12" x14ac:dyDescent="0.45">
      <c r="A55" s="3" t="s">
        <v>199</v>
      </c>
      <c r="B55" s="3" t="s">
        <v>200</v>
      </c>
      <c r="C55" s="3" t="s">
        <v>133</v>
      </c>
      <c r="D55" s="3" t="s">
        <v>15</v>
      </c>
      <c r="E55" s="6" t="s">
        <v>36</v>
      </c>
      <c r="F55" s="3" t="s">
        <v>134</v>
      </c>
      <c r="G55" s="3" t="s">
        <v>77</v>
      </c>
      <c r="H55" s="3" t="s">
        <v>95</v>
      </c>
      <c r="I55" s="3" t="s">
        <v>55</v>
      </c>
      <c r="J55" s="3">
        <v>7</v>
      </c>
      <c r="K55" s="3">
        <v>725</v>
      </c>
      <c r="L55" s="3" t="s">
        <v>51</v>
      </c>
    </row>
    <row r="56" spans="1:12" x14ac:dyDescent="0.45">
      <c r="A56" s="3" t="s">
        <v>201</v>
      </c>
      <c r="B56" s="3" t="s">
        <v>202</v>
      </c>
      <c r="C56" s="3" t="s">
        <v>133</v>
      </c>
      <c r="D56" s="3" t="s">
        <v>15</v>
      </c>
      <c r="E56" s="7" t="s">
        <v>42</v>
      </c>
      <c r="F56" s="3" t="s">
        <v>134</v>
      </c>
      <c r="G56" s="3" t="s">
        <v>98</v>
      </c>
      <c r="H56" s="3" t="s">
        <v>19</v>
      </c>
      <c r="I56" s="3" t="s">
        <v>27</v>
      </c>
      <c r="J56" s="3">
        <v>24</v>
      </c>
      <c r="K56" s="3">
        <v>22</v>
      </c>
      <c r="L56" s="3" t="s">
        <v>145</v>
      </c>
    </row>
    <row r="57" spans="1:12" x14ac:dyDescent="0.45">
      <c r="A57" s="3" t="s">
        <v>203</v>
      </c>
      <c r="B57" s="3" t="s">
        <v>204</v>
      </c>
      <c r="C57" s="3" t="s">
        <v>133</v>
      </c>
      <c r="D57" s="3" t="s">
        <v>15</v>
      </c>
      <c r="E57" s="6" t="s">
        <v>36</v>
      </c>
      <c r="F57" s="3" t="s">
        <v>134</v>
      </c>
      <c r="G57" s="3" t="s">
        <v>205</v>
      </c>
      <c r="H57" s="3" t="s">
        <v>19</v>
      </c>
      <c r="I57" s="3" t="s">
        <v>55</v>
      </c>
      <c r="J57" s="3">
        <v>5</v>
      </c>
      <c r="K57" s="3">
        <v>245</v>
      </c>
      <c r="L57" s="3" t="s">
        <v>51</v>
      </c>
    </row>
    <row r="58" spans="1:12" x14ac:dyDescent="0.45">
      <c r="A58" s="3" t="s">
        <v>206</v>
      </c>
      <c r="B58" s="3" t="s">
        <v>207</v>
      </c>
      <c r="C58" s="3" t="s">
        <v>133</v>
      </c>
      <c r="D58" s="3" t="s">
        <v>15</v>
      </c>
      <c r="E58" s="6" t="s">
        <v>36</v>
      </c>
      <c r="F58" s="3" t="s">
        <v>134</v>
      </c>
      <c r="G58" s="3" t="s">
        <v>208</v>
      </c>
      <c r="H58" s="3" t="s">
        <v>62</v>
      </c>
      <c r="I58" s="3" t="s">
        <v>55</v>
      </c>
      <c r="J58" s="3">
        <v>5</v>
      </c>
      <c r="K58" s="3">
        <v>225</v>
      </c>
      <c r="L58" s="3" t="s">
        <v>39</v>
      </c>
    </row>
    <row r="59" spans="1:12" x14ac:dyDescent="0.45">
      <c r="A59" s="3" t="s">
        <v>209</v>
      </c>
      <c r="B59" s="3" t="s">
        <v>210</v>
      </c>
      <c r="C59" s="3" t="s">
        <v>133</v>
      </c>
      <c r="D59" s="3" t="s">
        <v>15</v>
      </c>
      <c r="E59" s="7" t="s">
        <v>42</v>
      </c>
      <c r="F59" s="3" t="s">
        <v>134</v>
      </c>
      <c r="G59" s="3" t="s">
        <v>211</v>
      </c>
      <c r="H59" s="3" t="s">
        <v>19</v>
      </c>
      <c r="I59" s="3" t="s">
        <v>27</v>
      </c>
      <c r="J59" s="3">
        <v>19</v>
      </c>
      <c r="K59" s="3">
        <v>285</v>
      </c>
      <c r="L59" s="3" t="s">
        <v>74</v>
      </c>
    </row>
    <row r="60" spans="1:12" x14ac:dyDescent="0.45">
      <c r="A60" s="3" t="s">
        <v>212</v>
      </c>
      <c r="B60" s="3" t="s">
        <v>213</v>
      </c>
      <c r="C60" s="3" t="s">
        <v>133</v>
      </c>
      <c r="D60" s="3" t="s">
        <v>15</v>
      </c>
      <c r="E60" s="4" t="s">
        <v>16</v>
      </c>
      <c r="F60" s="3" t="s">
        <v>134</v>
      </c>
      <c r="G60" s="3" t="s">
        <v>66</v>
      </c>
      <c r="H60" s="3" t="s">
        <v>67</v>
      </c>
      <c r="I60" s="3" t="s">
        <v>20</v>
      </c>
      <c r="J60" s="3">
        <v>14</v>
      </c>
      <c r="K60" s="3">
        <v>175</v>
      </c>
      <c r="L60" s="3" t="s">
        <v>214</v>
      </c>
    </row>
    <row r="61" spans="1:12" x14ac:dyDescent="0.45">
      <c r="A61" s="3" t="s">
        <v>215</v>
      </c>
      <c r="B61" s="3" t="s">
        <v>216</v>
      </c>
      <c r="C61" s="3" t="s">
        <v>133</v>
      </c>
      <c r="D61" s="3" t="s">
        <v>15</v>
      </c>
      <c r="E61" s="4" t="s">
        <v>16</v>
      </c>
      <c r="F61" s="3" t="s">
        <v>134</v>
      </c>
      <c r="G61" s="3" t="s">
        <v>217</v>
      </c>
      <c r="H61" s="3" t="s">
        <v>32</v>
      </c>
      <c r="I61" s="3" t="s">
        <v>20</v>
      </c>
      <c r="J61" s="3">
        <v>14</v>
      </c>
      <c r="K61" s="3">
        <v>75</v>
      </c>
      <c r="L61" s="3" t="s">
        <v>63</v>
      </c>
    </row>
    <row r="62" spans="1:12" x14ac:dyDescent="0.45">
      <c r="A62" s="3" t="s">
        <v>218</v>
      </c>
      <c r="B62" s="3" t="s">
        <v>219</v>
      </c>
      <c r="C62" s="3" t="s">
        <v>220</v>
      </c>
      <c r="D62" s="3" t="s">
        <v>15</v>
      </c>
      <c r="E62" s="4" t="s">
        <v>16</v>
      </c>
      <c r="F62" s="3" t="s">
        <v>221</v>
      </c>
      <c r="G62" s="3" t="s">
        <v>135</v>
      </c>
      <c r="H62" s="3" t="s">
        <v>19</v>
      </c>
      <c r="I62" s="3" t="s">
        <v>27</v>
      </c>
      <c r="J62" s="3">
        <v>27</v>
      </c>
      <c r="K62" s="3">
        <v>599</v>
      </c>
      <c r="L62" s="3" t="s">
        <v>222</v>
      </c>
    </row>
    <row r="63" spans="1:12" x14ac:dyDescent="0.45">
      <c r="A63" s="3" t="s">
        <v>223</v>
      </c>
      <c r="B63" s="3" t="s">
        <v>224</v>
      </c>
      <c r="C63" s="3" t="s">
        <v>220</v>
      </c>
      <c r="D63" s="3" t="s">
        <v>15</v>
      </c>
      <c r="E63" s="5" t="s">
        <v>24</v>
      </c>
      <c r="F63" s="3" t="s">
        <v>221</v>
      </c>
      <c r="G63" s="3" t="s">
        <v>81</v>
      </c>
      <c r="H63" s="3" t="s">
        <v>38</v>
      </c>
      <c r="I63" s="3" t="s">
        <v>20</v>
      </c>
      <c r="J63" s="3">
        <v>7</v>
      </c>
      <c r="K63" s="3">
        <v>399</v>
      </c>
      <c r="L63" s="3" t="s">
        <v>222</v>
      </c>
    </row>
    <row r="64" spans="1:12" x14ac:dyDescent="0.45">
      <c r="A64" s="3" t="s">
        <v>225</v>
      </c>
      <c r="B64" s="3" t="s">
        <v>226</v>
      </c>
      <c r="C64" s="3" t="s">
        <v>220</v>
      </c>
      <c r="D64" s="3" t="s">
        <v>15</v>
      </c>
      <c r="E64" s="6" t="s">
        <v>36</v>
      </c>
      <c r="F64" s="3" t="s">
        <v>221</v>
      </c>
      <c r="G64" s="3" t="s">
        <v>227</v>
      </c>
      <c r="H64" s="3" t="s">
        <v>62</v>
      </c>
      <c r="I64" s="3" t="s">
        <v>55</v>
      </c>
      <c r="J64" s="3">
        <v>6</v>
      </c>
      <c r="K64" s="3">
        <v>185</v>
      </c>
      <c r="L64" s="3" t="s">
        <v>39</v>
      </c>
    </row>
    <row r="65" spans="1:12" x14ac:dyDescent="0.45">
      <c r="A65" s="3" t="s">
        <v>228</v>
      </c>
      <c r="B65" s="3" t="s">
        <v>229</v>
      </c>
      <c r="C65" s="3" t="s">
        <v>220</v>
      </c>
      <c r="D65" s="3" t="s">
        <v>15</v>
      </c>
      <c r="E65" s="6" t="s">
        <v>36</v>
      </c>
      <c r="F65" s="3" t="s">
        <v>221</v>
      </c>
      <c r="G65" s="3" t="s">
        <v>230</v>
      </c>
      <c r="H65" s="3" t="s">
        <v>50</v>
      </c>
      <c r="I65" s="3" t="s">
        <v>55</v>
      </c>
      <c r="J65" s="3">
        <v>6</v>
      </c>
      <c r="K65" s="3">
        <v>145</v>
      </c>
      <c r="L65" s="3" t="s">
        <v>51</v>
      </c>
    </row>
    <row r="66" spans="1:12" x14ac:dyDescent="0.45">
      <c r="A66" s="3" t="s">
        <v>231</v>
      </c>
      <c r="B66" s="3" t="s">
        <v>232</v>
      </c>
      <c r="C66" s="3" t="s">
        <v>220</v>
      </c>
      <c r="D66" s="3" t="s">
        <v>15</v>
      </c>
      <c r="E66" s="5" t="s">
        <v>24</v>
      </c>
      <c r="F66" s="3" t="s">
        <v>221</v>
      </c>
      <c r="G66" s="3" t="s">
        <v>162</v>
      </c>
      <c r="H66" s="3" t="s">
        <v>38</v>
      </c>
      <c r="I66" s="3" t="s">
        <v>27</v>
      </c>
      <c r="J66" s="3">
        <v>11</v>
      </c>
      <c r="K66" s="3">
        <v>375</v>
      </c>
      <c r="L66" s="3" t="s">
        <v>78</v>
      </c>
    </row>
    <row r="67" spans="1:12" x14ac:dyDescent="0.45">
      <c r="A67" s="3" t="s">
        <v>233</v>
      </c>
      <c r="B67" s="3" t="s">
        <v>234</v>
      </c>
      <c r="C67" s="3" t="s">
        <v>220</v>
      </c>
      <c r="D67" s="3" t="s">
        <v>15</v>
      </c>
      <c r="E67" s="5" t="s">
        <v>24</v>
      </c>
      <c r="F67" s="3" t="s">
        <v>221</v>
      </c>
      <c r="G67" s="3" t="s">
        <v>104</v>
      </c>
      <c r="H67" s="3" t="s">
        <v>19</v>
      </c>
      <c r="I67" s="3" t="s">
        <v>20</v>
      </c>
      <c r="J67" s="3">
        <v>23</v>
      </c>
      <c r="K67" s="3">
        <v>650</v>
      </c>
      <c r="L67" s="3" t="s">
        <v>74</v>
      </c>
    </row>
    <row r="68" spans="1:12" x14ac:dyDescent="0.45">
      <c r="A68" s="3" t="s">
        <v>235</v>
      </c>
      <c r="B68" s="3" t="s">
        <v>236</v>
      </c>
      <c r="C68" s="3" t="s">
        <v>220</v>
      </c>
      <c r="D68" s="3" t="s">
        <v>15</v>
      </c>
      <c r="E68" s="4" t="s">
        <v>16</v>
      </c>
      <c r="F68" s="3" t="s">
        <v>221</v>
      </c>
      <c r="G68" s="3" t="s">
        <v>237</v>
      </c>
      <c r="H68" s="3" t="s">
        <v>38</v>
      </c>
      <c r="I68" s="3" t="s">
        <v>20</v>
      </c>
      <c r="J68" s="3">
        <v>18</v>
      </c>
      <c r="K68" s="3">
        <v>349</v>
      </c>
      <c r="L68" s="3" t="s">
        <v>136</v>
      </c>
    </row>
    <row r="69" spans="1:12" x14ac:dyDescent="0.45">
      <c r="A69" s="3" t="s">
        <v>238</v>
      </c>
      <c r="B69" s="3" t="s">
        <v>239</v>
      </c>
      <c r="C69" s="3" t="s">
        <v>220</v>
      </c>
      <c r="D69" s="3" t="s">
        <v>15</v>
      </c>
      <c r="E69" s="7" t="s">
        <v>42</v>
      </c>
      <c r="F69" s="3" t="s">
        <v>221</v>
      </c>
      <c r="G69" s="3" t="s">
        <v>240</v>
      </c>
      <c r="H69" s="3" t="s">
        <v>19</v>
      </c>
      <c r="I69" s="3" t="s">
        <v>27</v>
      </c>
      <c r="J69" s="3">
        <v>26</v>
      </c>
      <c r="K69" s="3">
        <v>495</v>
      </c>
      <c r="L69" s="3" t="s">
        <v>74</v>
      </c>
    </row>
    <row r="70" spans="1:12" x14ac:dyDescent="0.45">
      <c r="A70" s="3" t="s">
        <v>241</v>
      </c>
      <c r="B70" s="3" t="s">
        <v>242</v>
      </c>
      <c r="C70" s="3" t="s">
        <v>220</v>
      </c>
      <c r="D70" s="3" t="s">
        <v>15</v>
      </c>
      <c r="E70" s="6" t="s">
        <v>36</v>
      </c>
      <c r="F70" s="3" t="s">
        <v>221</v>
      </c>
      <c r="G70" s="3" t="s">
        <v>230</v>
      </c>
      <c r="H70" s="3" t="s">
        <v>38</v>
      </c>
      <c r="I70" s="3" t="s">
        <v>55</v>
      </c>
      <c r="J70" s="3">
        <v>7</v>
      </c>
      <c r="K70" s="3">
        <v>449</v>
      </c>
      <c r="L70" s="3" t="s">
        <v>39</v>
      </c>
    </row>
    <row r="71" spans="1:12" x14ac:dyDescent="0.45">
      <c r="A71" s="3" t="s">
        <v>243</v>
      </c>
      <c r="B71" s="3" t="s">
        <v>244</v>
      </c>
      <c r="C71" s="3" t="s">
        <v>220</v>
      </c>
      <c r="D71" s="3" t="s">
        <v>15</v>
      </c>
      <c r="E71" s="7" t="s">
        <v>42</v>
      </c>
      <c r="F71" s="3" t="s">
        <v>221</v>
      </c>
      <c r="G71" s="3" t="s">
        <v>245</v>
      </c>
      <c r="H71" s="3" t="s">
        <v>38</v>
      </c>
      <c r="I71" s="3" t="s">
        <v>27</v>
      </c>
      <c r="J71" s="3">
        <v>12</v>
      </c>
      <c r="K71" s="3">
        <v>399</v>
      </c>
      <c r="L71" s="3" t="s">
        <v>33</v>
      </c>
    </row>
    <row r="72" spans="1:12" x14ac:dyDescent="0.45">
      <c r="A72" s="3" t="s">
        <v>246</v>
      </c>
      <c r="B72" s="3" t="s">
        <v>247</v>
      </c>
      <c r="C72" s="3" t="s">
        <v>220</v>
      </c>
      <c r="D72" s="3" t="s">
        <v>15</v>
      </c>
      <c r="E72" s="4" t="s">
        <v>16</v>
      </c>
      <c r="F72" s="3" t="s">
        <v>221</v>
      </c>
      <c r="G72" s="3" t="s">
        <v>61</v>
      </c>
      <c r="H72" s="3" t="s">
        <v>32</v>
      </c>
      <c r="I72" s="3" t="s">
        <v>20</v>
      </c>
      <c r="J72" s="3">
        <v>16</v>
      </c>
      <c r="K72" s="3">
        <v>145</v>
      </c>
      <c r="L72" s="3" t="s">
        <v>51</v>
      </c>
    </row>
    <row r="73" spans="1:12" x14ac:dyDescent="0.45">
      <c r="A73" s="3" t="s">
        <v>248</v>
      </c>
      <c r="B73" s="3" t="s">
        <v>249</v>
      </c>
      <c r="C73" s="3" t="s">
        <v>220</v>
      </c>
      <c r="D73" s="3" t="s">
        <v>15</v>
      </c>
      <c r="E73" s="6" t="s">
        <v>36</v>
      </c>
      <c r="F73" s="3" t="s">
        <v>221</v>
      </c>
      <c r="G73" s="3" t="s">
        <v>191</v>
      </c>
      <c r="H73" s="3" t="s">
        <v>19</v>
      </c>
      <c r="I73" s="3" t="s">
        <v>55</v>
      </c>
      <c r="J73" s="3">
        <v>3</v>
      </c>
      <c r="K73" s="3">
        <v>175</v>
      </c>
      <c r="L73" s="3" t="s">
        <v>39</v>
      </c>
    </row>
    <row r="74" spans="1:12" x14ac:dyDescent="0.45">
      <c r="A74" s="3" t="s">
        <v>250</v>
      </c>
      <c r="B74" s="3" t="s">
        <v>251</v>
      </c>
      <c r="C74" s="3" t="s">
        <v>220</v>
      </c>
      <c r="D74" s="3" t="s">
        <v>15</v>
      </c>
      <c r="E74" s="6" t="s">
        <v>36</v>
      </c>
      <c r="F74" s="3" t="s">
        <v>221</v>
      </c>
      <c r="G74" s="3" t="s">
        <v>49</v>
      </c>
      <c r="H74" s="3" t="s">
        <v>95</v>
      </c>
      <c r="I74" s="3" t="s">
        <v>55</v>
      </c>
      <c r="J74" s="3">
        <v>6</v>
      </c>
      <c r="K74" s="3">
        <v>199</v>
      </c>
      <c r="L74" s="3" t="s">
        <v>51</v>
      </c>
    </row>
    <row r="75" spans="1:12" x14ac:dyDescent="0.45">
      <c r="A75" s="3" t="s">
        <v>252</v>
      </c>
      <c r="B75" s="3" t="s">
        <v>253</v>
      </c>
      <c r="C75" s="3" t="s">
        <v>220</v>
      </c>
      <c r="D75" s="3" t="s">
        <v>15</v>
      </c>
      <c r="E75" s="4" t="s">
        <v>16</v>
      </c>
      <c r="F75" s="3" t="s">
        <v>221</v>
      </c>
      <c r="G75" s="3" t="s">
        <v>217</v>
      </c>
      <c r="H75" s="3" t="s">
        <v>32</v>
      </c>
      <c r="I75" s="3" t="s">
        <v>27</v>
      </c>
      <c r="J75" s="3">
        <v>13</v>
      </c>
      <c r="K75" s="3">
        <v>140</v>
      </c>
      <c r="L75" s="3" t="s">
        <v>166</v>
      </c>
    </row>
    <row r="76" spans="1:12" x14ac:dyDescent="0.45">
      <c r="A76" s="3" t="s">
        <v>254</v>
      </c>
      <c r="B76" s="3" t="s">
        <v>255</v>
      </c>
      <c r="C76" s="3" t="s">
        <v>220</v>
      </c>
      <c r="D76" s="3" t="s">
        <v>15</v>
      </c>
      <c r="E76" s="7" t="s">
        <v>42</v>
      </c>
      <c r="F76" s="3" t="s">
        <v>221</v>
      </c>
      <c r="G76" s="3" t="s">
        <v>256</v>
      </c>
      <c r="H76" s="3" t="s">
        <v>67</v>
      </c>
      <c r="I76" s="3" t="s">
        <v>27</v>
      </c>
      <c r="J76" s="3">
        <v>10</v>
      </c>
      <c r="K76" s="3">
        <v>115</v>
      </c>
      <c r="L76" s="3" t="s">
        <v>145</v>
      </c>
    </row>
    <row r="77" spans="1:12" x14ac:dyDescent="0.45">
      <c r="A77" s="3" t="s">
        <v>257</v>
      </c>
      <c r="B77" s="3" t="s">
        <v>258</v>
      </c>
      <c r="C77" s="3" t="s">
        <v>220</v>
      </c>
      <c r="D77" s="3" t="s">
        <v>15</v>
      </c>
      <c r="E77" s="6" t="s">
        <v>36</v>
      </c>
      <c r="F77" s="3" t="s">
        <v>221</v>
      </c>
      <c r="G77" s="3" t="s">
        <v>259</v>
      </c>
      <c r="H77" s="3" t="s">
        <v>50</v>
      </c>
      <c r="I77" s="3" t="s">
        <v>55</v>
      </c>
      <c r="J77" s="3">
        <v>9</v>
      </c>
      <c r="K77" s="3">
        <v>295</v>
      </c>
      <c r="L77" s="3" t="s">
        <v>51</v>
      </c>
    </row>
    <row r="78" spans="1:12" x14ac:dyDescent="0.45">
      <c r="A78" s="3" t="s">
        <v>260</v>
      </c>
      <c r="B78" s="3" t="s">
        <v>261</v>
      </c>
      <c r="C78" s="3" t="s">
        <v>220</v>
      </c>
      <c r="D78" s="3" t="s">
        <v>15</v>
      </c>
      <c r="E78" s="5" t="s">
        <v>24</v>
      </c>
      <c r="F78" s="3" t="s">
        <v>221</v>
      </c>
      <c r="G78" s="3" t="s">
        <v>262</v>
      </c>
      <c r="H78" s="3" t="s">
        <v>32</v>
      </c>
      <c r="I78" s="3" t="s">
        <v>27</v>
      </c>
      <c r="J78" s="3">
        <v>13</v>
      </c>
      <c r="K78" s="3">
        <v>525</v>
      </c>
      <c r="L78" s="3" t="s">
        <v>39</v>
      </c>
    </row>
    <row r="79" spans="1:12" x14ac:dyDescent="0.45">
      <c r="A79" s="3" t="s">
        <v>263</v>
      </c>
      <c r="B79" s="3" t="s">
        <v>264</v>
      </c>
      <c r="C79" s="3" t="s">
        <v>220</v>
      </c>
      <c r="D79" s="3" t="s">
        <v>15</v>
      </c>
      <c r="E79" s="7" t="s">
        <v>42</v>
      </c>
      <c r="F79" s="3" t="s">
        <v>221</v>
      </c>
      <c r="G79" s="3" t="s">
        <v>61</v>
      </c>
      <c r="H79" s="3" t="s">
        <v>19</v>
      </c>
      <c r="I79" s="3" t="s">
        <v>27</v>
      </c>
      <c r="J79" s="3">
        <v>14</v>
      </c>
      <c r="K79" s="3">
        <v>1850</v>
      </c>
      <c r="L79" s="3" t="s">
        <v>136</v>
      </c>
    </row>
    <row r="80" spans="1:12" x14ac:dyDescent="0.45">
      <c r="A80" s="3" t="s">
        <v>265</v>
      </c>
      <c r="B80" s="3" t="s">
        <v>266</v>
      </c>
      <c r="C80" s="3" t="s">
        <v>220</v>
      </c>
      <c r="D80" s="3" t="s">
        <v>15</v>
      </c>
      <c r="E80" s="6" t="s">
        <v>36</v>
      </c>
      <c r="F80" s="3" t="s">
        <v>221</v>
      </c>
      <c r="G80" s="3" t="s">
        <v>125</v>
      </c>
      <c r="H80" s="3" t="s">
        <v>50</v>
      </c>
      <c r="I80" s="3" t="s">
        <v>55</v>
      </c>
      <c r="J80" s="3">
        <v>12</v>
      </c>
      <c r="K80" s="3">
        <v>995</v>
      </c>
      <c r="L80" s="3" t="s">
        <v>39</v>
      </c>
    </row>
    <row r="81" spans="1:12" x14ac:dyDescent="0.45">
      <c r="A81" s="3" t="s">
        <v>267</v>
      </c>
      <c r="B81" s="3" t="s">
        <v>268</v>
      </c>
      <c r="C81" s="3" t="s">
        <v>220</v>
      </c>
      <c r="D81" s="3" t="s">
        <v>15</v>
      </c>
      <c r="E81" s="6" t="s">
        <v>36</v>
      </c>
      <c r="F81" s="3" t="s">
        <v>221</v>
      </c>
      <c r="G81" s="3" t="s">
        <v>196</v>
      </c>
      <c r="H81" s="3" t="s">
        <v>19</v>
      </c>
      <c r="I81" s="3" t="s">
        <v>55</v>
      </c>
      <c r="J81" s="3">
        <v>10</v>
      </c>
      <c r="K81" s="3">
        <v>349</v>
      </c>
      <c r="L81" s="3" t="s">
        <v>39</v>
      </c>
    </row>
    <row r="82" spans="1:12" x14ac:dyDescent="0.45">
      <c r="A82" s="3" t="s">
        <v>269</v>
      </c>
      <c r="B82" s="3" t="s">
        <v>270</v>
      </c>
      <c r="C82" s="3" t="s">
        <v>220</v>
      </c>
      <c r="D82" s="3" t="s">
        <v>15</v>
      </c>
      <c r="E82" s="6" t="s">
        <v>36</v>
      </c>
      <c r="F82" s="3" t="s">
        <v>221</v>
      </c>
      <c r="G82" s="3" t="s">
        <v>271</v>
      </c>
      <c r="H82" s="3" t="s">
        <v>19</v>
      </c>
      <c r="I82" s="3" t="s">
        <v>55</v>
      </c>
      <c r="J82" s="3">
        <v>10</v>
      </c>
      <c r="K82" s="3">
        <v>299</v>
      </c>
      <c r="L82" s="3" t="s">
        <v>39</v>
      </c>
    </row>
    <row r="83" spans="1:12" x14ac:dyDescent="0.45">
      <c r="A83" s="3" t="s">
        <v>272</v>
      </c>
      <c r="B83" s="3" t="s">
        <v>273</v>
      </c>
      <c r="C83" s="3" t="s">
        <v>220</v>
      </c>
      <c r="D83" s="3" t="s">
        <v>15</v>
      </c>
      <c r="E83" s="4" t="s">
        <v>16</v>
      </c>
      <c r="F83" s="3" t="s">
        <v>221</v>
      </c>
      <c r="G83" s="3" t="s">
        <v>274</v>
      </c>
      <c r="H83" s="3" t="s">
        <v>32</v>
      </c>
      <c r="I83" s="3" t="s">
        <v>27</v>
      </c>
      <c r="J83" s="3">
        <v>16</v>
      </c>
      <c r="K83" s="3">
        <v>499</v>
      </c>
      <c r="L83" s="3" t="s">
        <v>145</v>
      </c>
    </row>
    <row r="84" spans="1:12" x14ac:dyDescent="0.45">
      <c r="A84" s="3" t="s">
        <v>275</v>
      </c>
      <c r="B84" s="3" t="s">
        <v>276</v>
      </c>
      <c r="C84" s="3" t="s">
        <v>220</v>
      </c>
      <c r="D84" s="3" t="s">
        <v>15</v>
      </c>
      <c r="E84" s="7" t="s">
        <v>42</v>
      </c>
      <c r="F84" s="3" t="s">
        <v>221</v>
      </c>
      <c r="G84" s="3" t="s">
        <v>259</v>
      </c>
      <c r="H84" s="3" t="s">
        <v>67</v>
      </c>
      <c r="I84" s="3" t="s">
        <v>27</v>
      </c>
      <c r="J84" s="3">
        <v>14</v>
      </c>
      <c r="K84" s="3">
        <v>249</v>
      </c>
      <c r="L84" s="3" t="s">
        <v>222</v>
      </c>
    </row>
    <row r="85" spans="1:12" x14ac:dyDescent="0.45">
      <c r="A85" s="3" t="s">
        <v>277</v>
      </c>
      <c r="B85" s="3" t="s">
        <v>278</v>
      </c>
      <c r="C85" s="3" t="s">
        <v>220</v>
      </c>
      <c r="D85" s="3" t="s">
        <v>15</v>
      </c>
      <c r="E85" s="4" t="s">
        <v>16</v>
      </c>
      <c r="F85" s="3" t="s">
        <v>221</v>
      </c>
      <c r="G85" s="3" t="s">
        <v>279</v>
      </c>
      <c r="H85" s="3" t="s">
        <v>38</v>
      </c>
      <c r="I85" s="3" t="s">
        <v>27</v>
      </c>
      <c r="J85" s="3">
        <v>25</v>
      </c>
      <c r="K85" s="3">
        <v>175</v>
      </c>
      <c r="L85" s="3" t="s">
        <v>51</v>
      </c>
    </row>
    <row r="86" spans="1:12" x14ac:dyDescent="0.45">
      <c r="A86" s="3" t="s">
        <v>280</v>
      </c>
      <c r="B86" s="3" t="s">
        <v>281</v>
      </c>
      <c r="C86" s="3" t="s">
        <v>220</v>
      </c>
      <c r="D86" s="3" t="s">
        <v>15</v>
      </c>
      <c r="E86" s="4" t="s">
        <v>16</v>
      </c>
      <c r="F86" s="3" t="s">
        <v>221</v>
      </c>
      <c r="G86" s="3" t="s">
        <v>271</v>
      </c>
      <c r="H86" s="3" t="s">
        <v>38</v>
      </c>
      <c r="I86" s="3" t="s">
        <v>27</v>
      </c>
      <c r="J86" s="3">
        <v>26</v>
      </c>
      <c r="K86" s="3">
        <v>99</v>
      </c>
      <c r="L86" s="3" t="s">
        <v>130</v>
      </c>
    </row>
    <row r="87" spans="1:12" x14ac:dyDescent="0.45">
      <c r="A87" s="3" t="s">
        <v>282</v>
      </c>
      <c r="B87" s="3" t="s">
        <v>283</v>
      </c>
      <c r="C87" s="3" t="s">
        <v>284</v>
      </c>
      <c r="D87" s="3" t="s">
        <v>15</v>
      </c>
      <c r="E87" s="7" t="s">
        <v>42</v>
      </c>
      <c r="F87" s="3" t="s">
        <v>17</v>
      </c>
      <c r="G87" s="3" t="s">
        <v>285</v>
      </c>
      <c r="H87" s="3" t="s">
        <v>19</v>
      </c>
      <c r="I87" s="3" t="s">
        <v>27</v>
      </c>
      <c r="J87" s="3">
        <v>30</v>
      </c>
      <c r="K87" s="3">
        <v>699</v>
      </c>
      <c r="L87" s="3" t="s">
        <v>39</v>
      </c>
    </row>
    <row r="88" spans="1:12" x14ac:dyDescent="0.45">
      <c r="A88" s="3" t="s">
        <v>286</v>
      </c>
      <c r="B88" s="3" t="s">
        <v>287</v>
      </c>
      <c r="C88" s="3" t="s">
        <v>284</v>
      </c>
      <c r="D88" s="3" t="s">
        <v>15</v>
      </c>
      <c r="E88" s="4" t="s">
        <v>16</v>
      </c>
      <c r="F88" s="3" t="s">
        <v>17</v>
      </c>
      <c r="G88" s="3" t="s">
        <v>114</v>
      </c>
      <c r="H88" s="3" t="s">
        <v>95</v>
      </c>
      <c r="I88" s="3" t="s">
        <v>27</v>
      </c>
      <c r="J88" s="3">
        <v>15</v>
      </c>
      <c r="K88" s="3">
        <v>399</v>
      </c>
      <c r="L88" s="3" t="s">
        <v>214</v>
      </c>
    </row>
    <row r="89" spans="1:12" x14ac:dyDescent="0.45">
      <c r="A89" s="3" t="s">
        <v>288</v>
      </c>
      <c r="B89" s="3" t="s">
        <v>289</v>
      </c>
      <c r="C89" s="3" t="s">
        <v>284</v>
      </c>
      <c r="D89" s="3" t="s">
        <v>15</v>
      </c>
      <c r="E89" s="6" t="s">
        <v>36</v>
      </c>
      <c r="F89" s="3" t="s">
        <v>17</v>
      </c>
      <c r="G89" s="3" t="s">
        <v>290</v>
      </c>
      <c r="H89" s="3" t="s">
        <v>19</v>
      </c>
      <c r="I89" s="3" t="s">
        <v>20</v>
      </c>
      <c r="J89" s="3">
        <v>4</v>
      </c>
      <c r="K89" s="3">
        <v>299</v>
      </c>
      <c r="L89" s="3" t="s">
        <v>39</v>
      </c>
    </row>
    <row r="90" spans="1:12" x14ac:dyDescent="0.45">
      <c r="A90" s="3" t="s">
        <v>291</v>
      </c>
      <c r="B90" s="3" t="s">
        <v>292</v>
      </c>
      <c r="C90" s="3" t="s">
        <v>284</v>
      </c>
      <c r="D90" s="3" t="s">
        <v>15</v>
      </c>
      <c r="E90" s="5" t="s">
        <v>24</v>
      </c>
      <c r="F90" s="3" t="s">
        <v>17</v>
      </c>
      <c r="G90" s="3" t="s">
        <v>217</v>
      </c>
      <c r="H90" s="3" t="s">
        <v>26</v>
      </c>
      <c r="I90" s="3" t="s">
        <v>20</v>
      </c>
      <c r="J90" s="3">
        <v>4</v>
      </c>
      <c r="K90" s="3">
        <v>450</v>
      </c>
      <c r="L90" s="3" t="s">
        <v>74</v>
      </c>
    </row>
    <row r="91" spans="1:12" x14ac:dyDescent="0.45">
      <c r="A91" s="3" t="s">
        <v>293</v>
      </c>
      <c r="B91" s="3" t="s">
        <v>294</v>
      </c>
      <c r="C91" s="3" t="s">
        <v>284</v>
      </c>
      <c r="D91" s="3" t="s">
        <v>15</v>
      </c>
      <c r="E91" s="7" t="s">
        <v>42</v>
      </c>
      <c r="F91" s="3" t="s">
        <v>17</v>
      </c>
      <c r="G91" s="3" t="s">
        <v>295</v>
      </c>
      <c r="H91" s="3" t="s">
        <v>62</v>
      </c>
      <c r="I91" s="3" t="s">
        <v>27</v>
      </c>
      <c r="J91" s="3">
        <v>23</v>
      </c>
      <c r="K91" s="3">
        <v>349</v>
      </c>
      <c r="L91" s="3" t="s">
        <v>119</v>
      </c>
    </row>
    <row r="92" spans="1:12" x14ac:dyDescent="0.45">
      <c r="A92" s="3" t="s">
        <v>296</v>
      </c>
      <c r="B92" s="3" t="s">
        <v>297</v>
      </c>
      <c r="C92" s="3" t="s">
        <v>284</v>
      </c>
      <c r="D92" s="3" t="s">
        <v>15</v>
      </c>
      <c r="E92" s="6" t="s">
        <v>36</v>
      </c>
      <c r="F92" s="3" t="s">
        <v>17</v>
      </c>
      <c r="G92" s="3" t="s">
        <v>279</v>
      </c>
      <c r="H92" s="3" t="s">
        <v>32</v>
      </c>
      <c r="I92" s="3" t="s">
        <v>20</v>
      </c>
      <c r="J92" s="3">
        <v>4</v>
      </c>
      <c r="K92" s="3">
        <v>275</v>
      </c>
      <c r="L92" s="3" t="s">
        <v>51</v>
      </c>
    </row>
    <row r="93" spans="1:12" x14ac:dyDescent="0.45">
      <c r="A93" s="3" t="s">
        <v>298</v>
      </c>
      <c r="B93" s="3" t="s">
        <v>299</v>
      </c>
      <c r="C93" s="3" t="s">
        <v>284</v>
      </c>
      <c r="D93" s="3" t="s">
        <v>15</v>
      </c>
      <c r="E93" s="6" t="s">
        <v>36</v>
      </c>
      <c r="F93" s="3" t="s">
        <v>17</v>
      </c>
      <c r="G93" s="3" t="s">
        <v>54</v>
      </c>
      <c r="H93" s="3" t="s">
        <v>26</v>
      </c>
      <c r="I93" s="3" t="s">
        <v>55</v>
      </c>
      <c r="J93" s="3">
        <v>7</v>
      </c>
      <c r="K93" s="3">
        <v>599</v>
      </c>
      <c r="L93" s="3" t="s">
        <v>51</v>
      </c>
    </row>
    <row r="94" spans="1:12" x14ac:dyDescent="0.45">
      <c r="A94" s="3" t="s">
        <v>300</v>
      </c>
      <c r="B94" s="3" t="s">
        <v>301</v>
      </c>
      <c r="C94" s="3" t="s">
        <v>284</v>
      </c>
      <c r="D94" s="3" t="s">
        <v>15</v>
      </c>
      <c r="E94" s="7" t="s">
        <v>42</v>
      </c>
      <c r="F94" s="3" t="s">
        <v>17</v>
      </c>
      <c r="G94" s="3" t="s">
        <v>259</v>
      </c>
      <c r="H94" s="3" t="s">
        <v>50</v>
      </c>
      <c r="I94" s="3" t="s">
        <v>27</v>
      </c>
      <c r="J94" s="3">
        <v>13</v>
      </c>
      <c r="K94" s="3">
        <v>399</v>
      </c>
      <c r="L94" s="3" t="s">
        <v>136</v>
      </c>
    </row>
    <row r="95" spans="1:12" x14ac:dyDescent="0.45">
      <c r="A95" s="3" t="s">
        <v>302</v>
      </c>
      <c r="B95" s="3" t="s">
        <v>303</v>
      </c>
      <c r="C95" s="3" t="s">
        <v>284</v>
      </c>
      <c r="D95" s="3" t="s">
        <v>15</v>
      </c>
      <c r="E95" s="6" t="s">
        <v>36</v>
      </c>
      <c r="F95" s="3" t="s">
        <v>17</v>
      </c>
      <c r="G95" s="3" t="s">
        <v>304</v>
      </c>
      <c r="H95" s="3" t="s">
        <v>50</v>
      </c>
      <c r="I95" s="3" t="s">
        <v>20</v>
      </c>
      <c r="J95" s="3">
        <v>8</v>
      </c>
      <c r="K95" s="3">
        <v>325</v>
      </c>
      <c r="L95" s="3" t="s">
        <v>51</v>
      </c>
    </row>
    <row r="96" spans="1:12" x14ac:dyDescent="0.45">
      <c r="A96" s="3" t="s">
        <v>305</v>
      </c>
      <c r="B96" s="3" t="s">
        <v>306</v>
      </c>
      <c r="C96" s="3" t="s">
        <v>284</v>
      </c>
      <c r="D96" s="3" t="s">
        <v>15</v>
      </c>
      <c r="E96" s="5" t="s">
        <v>24</v>
      </c>
      <c r="F96" s="3" t="s">
        <v>17</v>
      </c>
      <c r="G96" s="3" t="s">
        <v>307</v>
      </c>
      <c r="H96" s="3" t="s">
        <v>50</v>
      </c>
      <c r="I96" s="3" t="s">
        <v>27</v>
      </c>
      <c r="J96" s="3">
        <v>12</v>
      </c>
      <c r="K96" s="3">
        <v>899</v>
      </c>
      <c r="L96" s="3" t="s">
        <v>28</v>
      </c>
    </row>
    <row r="97" spans="1:12" x14ac:dyDescent="0.45">
      <c r="A97" s="3" t="s">
        <v>308</v>
      </c>
      <c r="B97" s="3" t="s">
        <v>309</v>
      </c>
      <c r="C97" s="3" t="s">
        <v>310</v>
      </c>
      <c r="D97" s="3" t="s">
        <v>15</v>
      </c>
      <c r="E97" s="6" t="s">
        <v>36</v>
      </c>
      <c r="F97" s="3" t="s">
        <v>17</v>
      </c>
      <c r="G97" s="3" t="s">
        <v>98</v>
      </c>
      <c r="H97" s="3" t="s">
        <v>62</v>
      </c>
      <c r="I97" s="3" t="s">
        <v>55</v>
      </c>
      <c r="J97" s="3">
        <v>10</v>
      </c>
      <c r="K97" s="3">
        <v>2150</v>
      </c>
      <c r="L97" s="3" t="s">
        <v>39</v>
      </c>
    </row>
    <row r="98" spans="1:12" x14ac:dyDescent="0.45">
      <c r="A98" s="3" t="s">
        <v>311</v>
      </c>
      <c r="B98" s="3" t="s">
        <v>312</v>
      </c>
      <c r="C98" s="3" t="s">
        <v>310</v>
      </c>
      <c r="D98" s="3" t="s">
        <v>15</v>
      </c>
      <c r="E98" s="6" t="s">
        <v>36</v>
      </c>
      <c r="F98" s="3" t="s">
        <v>17</v>
      </c>
      <c r="G98" s="3" t="s">
        <v>172</v>
      </c>
      <c r="H98" s="3" t="s">
        <v>95</v>
      </c>
      <c r="I98" s="3" t="s">
        <v>20</v>
      </c>
      <c r="J98" s="3">
        <v>6</v>
      </c>
      <c r="K98" s="3">
        <v>1299</v>
      </c>
      <c r="L98" s="3" t="s">
        <v>51</v>
      </c>
    </row>
    <row r="99" spans="1:12" x14ac:dyDescent="0.45">
      <c r="A99" s="3" t="s">
        <v>313</v>
      </c>
      <c r="B99" s="3" t="s">
        <v>314</v>
      </c>
      <c r="C99" s="3" t="s">
        <v>310</v>
      </c>
      <c r="D99" s="3" t="s">
        <v>15</v>
      </c>
      <c r="E99" s="5" t="s">
        <v>24</v>
      </c>
      <c r="F99" s="3" t="s">
        <v>17</v>
      </c>
      <c r="G99" s="3" t="s">
        <v>84</v>
      </c>
      <c r="H99" s="3" t="s">
        <v>62</v>
      </c>
      <c r="I99" s="3" t="s">
        <v>27</v>
      </c>
      <c r="J99" s="3">
        <v>16</v>
      </c>
      <c r="K99" s="3">
        <v>2599</v>
      </c>
      <c r="L99" s="3" t="s">
        <v>21</v>
      </c>
    </row>
    <row r="100" spans="1:12" x14ac:dyDescent="0.45">
      <c r="A100" s="3" t="s">
        <v>315</v>
      </c>
      <c r="B100" s="3" t="s">
        <v>316</v>
      </c>
      <c r="C100" s="3" t="s">
        <v>310</v>
      </c>
      <c r="D100" s="3" t="s">
        <v>15</v>
      </c>
      <c r="E100" s="6" t="s">
        <v>36</v>
      </c>
      <c r="F100" s="3" t="s">
        <v>17</v>
      </c>
      <c r="G100" s="3" t="s">
        <v>317</v>
      </c>
      <c r="H100" s="3" t="s">
        <v>95</v>
      </c>
      <c r="I100" s="3" t="s">
        <v>55</v>
      </c>
      <c r="J100" s="3">
        <v>4</v>
      </c>
      <c r="K100" s="3">
        <v>1799</v>
      </c>
      <c r="L100" s="3" t="s">
        <v>51</v>
      </c>
    </row>
    <row r="101" spans="1:12" x14ac:dyDescent="0.45">
      <c r="A101" s="3" t="s">
        <v>318</v>
      </c>
      <c r="B101" s="3" t="s">
        <v>319</v>
      </c>
      <c r="C101" s="3" t="s">
        <v>310</v>
      </c>
      <c r="D101" s="3" t="s">
        <v>15</v>
      </c>
      <c r="E101" s="6" t="s">
        <v>36</v>
      </c>
      <c r="F101" s="3" t="s">
        <v>17</v>
      </c>
      <c r="G101" s="3" t="s">
        <v>320</v>
      </c>
      <c r="H101" s="3" t="s">
        <v>50</v>
      </c>
      <c r="I101" s="3" t="s">
        <v>55</v>
      </c>
      <c r="J101" s="3">
        <v>8</v>
      </c>
      <c r="K101" s="3">
        <v>649</v>
      </c>
      <c r="L101" s="3" t="s">
        <v>39</v>
      </c>
    </row>
    <row r="102" spans="1:12" x14ac:dyDescent="0.45">
      <c r="A102" s="3" t="s">
        <v>321</v>
      </c>
      <c r="B102" s="3" t="s">
        <v>322</v>
      </c>
      <c r="C102" s="3" t="s">
        <v>310</v>
      </c>
      <c r="D102" s="3" t="s">
        <v>15</v>
      </c>
      <c r="E102" s="4" t="s">
        <v>16</v>
      </c>
      <c r="F102" s="3" t="s">
        <v>17</v>
      </c>
      <c r="G102" s="3" t="s">
        <v>172</v>
      </c>
      <c r="H102" s="3" t="s">
        <v>26</v>
      </c>
      <c r="I102" s="3" t="s">
        <v>20</v>
      </c>
      <c r="J102" s="3">
        <v>24</v>
      </c>
      <c r="K102" s="3">
        <v>799</v>
      </c>
      <c r="L102" s="3" t="s">
        <v>39</v>
      </c>
    </row>
    <row r="103" spans="1:12" x14ac:dyDescent="0.45">
      <c r="A103" s="3" t="s">
        <v>323</v>
      </c>
      <c r="B103" s="3" t="s">
        <v>324</v>
      </c>
      <c r="C103" s="3" t="s">
        <v>310</v>
      </c>
      <c r="D103" s="3" t="s">
        <v>15</v>
      </c>
      <c r="E103" s="6" t="s">
        <v>36</v>
      </c>
      <c r="F103" s="3" t="s">
        <v>17</v>
      </c>
      <c r="G103" s="3" t="s">
        <v>325</v>
      </c>
      <c r="H103" s="3" t="s">
        <v>26</v>
      </c>
      <c r="I103" s="3" t="s">
        <v>55</v>
      </c>
      <c r="J103" s="3">
        <v>9</v>
      </c>
      <c r="K103" s="3">
        <v>1899</v>
      </c>
      <c r="L103" s="3" t="s">
        <v>51</v>
      </c>
    </row>
    <row r="104" spans="1:12" x14ac:dyDescent="0.45">
      <c r="A104" s="3" t="s">
        <v>326</v>
      </c>
      <c r="B104" s="3" t="s">
        <v>327</v>
      </c>
      <c r="C104" s="3" t="s">
        <v>310</v>
      </c>
      <c r="D104" s="3" t="s">
        <v>15</v>
      </c>
      <c r="E104" s="4" t="s">
        <v>16</v>
      </c>
      <c r="F104" s="3" t="s">
        <v>17</v>
      </c>
      <c r="G104" s="3" t="s">
        <v>274</v>
      </c>
      <c r="H104" s="3" t="s">
        <v>62</v>
      </c>
      <c r="I104" s="3" t="s">
        <v>20</v>
      </c>
      <c r="J104" s="3">
        <v>14</v>
      </c>
      <c r="K104" s="3">
        <v>699</v>
      </c>
      <c r="L104" s="3" t="s">
        <v>105</v>
      </c>
    </row>
    <row r="105" spans="1:12" x14ac:dyDescent="0.45">
      <c r="A105" s="3" t="s">
        <v>328</v>
      </c>
      <c r="B105" s="3" t="s">
        <v>329</v>
      </c>
      <c r="C105" s="3" t="s">
        <v>310</v>
      </c>
      <c r="D105" s="3" t="s">
        <v>15</v>
      </c>
      <c r="E105" s="6" t="s">
        <v>36</v>
      </c>
      <c r="F105" s="3" t="s">
        <v>17</v>
      </c>
      <c r="G105" s="3" t="s">
        <v>177</v>
      </c>
      <c r="H105" s="3" t="s">
        <v>19</v>
      </c>
      <c r="I105" s="3" t="s">
        <v>20</v>
      </c>
      <c r="J105" s="3">
        <v>3</v>
      </c>
      <c r="K105" s="3">
        <v>4999</v>
      </c>
      <c r="L105" s="3" t="s">
        <v>51</v>
      </c>
    </row>
    <row r="106" spans="1:12" x14ac:dyDescent="0.45">
      <c r="A106" s="3" t="s">
        <v>330</v>
      </c>
      <c r="B106" s="3" t="s">
        <v>331</v>
      </c>
      <c r="C106" s="3" t="s">
        <v>310</v>
      </c>
      <c r="D106" s="3" t="s">
        <v>15</v>
      </c>
      <c r="E106" s="5" t="s">
        <v>24</v>
      </c>
      <c r="F106" s="3" t="s">
        <v>17</v>
      </c>
      <c r="G106" s="3" t="s">
        <v>332</v>
      </c>
      <c r="H106" s="3" t="s">
        <v>32</v>
      </c>
      <c r="I106" s="3" t="s">
        <v>20</v>
      </c>
      <c r="J106" s="3">
        <v>16</v>
      </c>
      <c r="K106" s="3">
        <v>1199</v>
      </c>
      <c r="L106" s="3" t="s">
        <v>130</v>
      </c>
    </row>
    <row r="107" spans="1:12" x14ac:dyDescent="0.45">
      <c r="A107" s="3" t="s">
        <v>333</v>
      </c>
      <c r="B107" s="3" t="s">
        <v>334</v>
      </c>
      <c r="C107" s="3" t="s">
        <v>310</v>
      </c>
      <c r="D107" s="3" t="s">
        <v>15</v>
      </c>
      <c r="E107" s="7" t="s">
        <v>42</v>
      </c>
      <c r="F107" s="3" t="s">
        <v>17</v>
      </c>
      <c r="G107" s="3" t="s">
        <v>335</v>
      </c>
      <c r="H107" s="3" t="s">
        <v>38</v>
      </c>
      <c r="I107" s="3" t="s">
        <v>27</v>
      </c>
      <c r="J107" s="3">
        <v>27</v>
      </c>
      <c r="K107" s="3">
        <v>2399</v>
      </c>
      <c r="L107" s="3" t="s">
        <v>119</v>
      </c>
    </row>
    <row r="108" spans="1:12" x14ac:dyDescent="0.45">
      <c r="A108" s="3" t="s">
        <v>336</v>
      </c>
      <c r="B108" s="3" t="s">
        <v>337</v>
      </c>
      <c r="C108" s="3" t="s">
        <v>310</v>
      </c>
      <c r="D108" s="3" t="s">
        <v>15</v>
      </c>
      <c r="E108" s="7" t="s">
        <v>42</v>
      </c>
      <c r="F108" s="3" t="s">
        <v>17</v>
      </c>
      <c r="G108" s="3" t="s">
        <v>338</v>
      </c>
      <c r="H108" s="3" t="s">
        <v>19</v>
      </c>
      <c r="I108" s="3" t="s">
        <v>27</v>
      </c>
      <c r="J108" s="3">
        <v>30</v>
      </c>
      <c r="K108" s="3">
        <v>2799</v>
      </c>
      <c r="L108" s="3" t="s">
        <v>136</v>
      </c>
    </row>
    <row r="109" spans="1:12" x14ac:dyDescent="0.45">
      <c r="A109" s="3" t="s">
        <v>339</v>
      </c>
      <c r="B109" s="3" t="s">
        <v>340</v>
      </c>
      <c r="C109" s="3" t="s">
        <v>310</v>
      </c>
      <c r="D109" s="3" t="s">
        <v>15</v>
      </c>
      <c r="E109" s="6" t="s">
        <v>36</v>
      </c>
      <c r="F109" s="3" t="s">
        <v>17</v>
      </c>
      <c r="G109" s="3" t="s">
        <v>114</v>
      </c>
      <c r="H109" s="3" t="s">
        <v>19</v>
      </c>
      <c r="I109" s="3" t="s">
        <v>20</v>
      </c>
      <c r="J109" s="3">
        <v>9</v>
      </c>
      <c r="K109" s="3">
        <v>399</v>
      </c>
      <c r="L109" s="3" t="s">
        <v>39</v>
      </c>
    </row>
    <row r="110" spans="1:12" x14ac:dyDescent="0.45">
      <c r="A110" s="3" t="s">
        <v>341</v>
      </c>
      <c r="B110" s="3" t="s">
        <v>342</v>
      </c>
      <c r="C110" s="3" t="s">
        <v>310</v>
      </c>
      <c r="D110" s="3" t="s">
        <v>15</v>
      </c>
      <c r="E110" s="7" t="s">
        <v>42</v>
      </c>
      <c r="F110" s="3" t="s">
        <v>17</v>
      </c>
      <c r="G110" s="3" t="s">
        <v>129</v>
      </c>
      <c r="H110" s="3" t="s">
        <v>26</v>
      </c>
      <c r="I110" s="3" t="s">
        <v>27</v>
      </c>
      <c r="J110" s="3">
        <v>23</v>
      </c>
      <c r="K110" s="3">
        <v>1699</v>
      </c>
      <c r="L110" s="3" t="s">
        <v>105</v>
      </c>
    </row>
    <row r="111" spans="1:12" x14ac:dyDescent="0.45">
      <c r="A111" s="3" t="s">
        <v>343</v>
      </c>
      <c r="B111" s="3" t="s">
        <v>344</v>
      </c>
      <c r="C111" s="3" t="s">
        <v>310</v>
      </c>
      <c r="D111" s="3" t="s">
        <v>15</v>
      </c>
      <c r="E111" s="5" t="s">
        <v>24</v>
      </c>
      <c r="F111" s="3" t="s">
        <v>17</v>
      </c>
      <c r="G111" s="3" t="s">
        <v>345</v>
      </c>
      <c r="H111" s="3" t="s">
        <v>62</v>
      </c>
      <c r="I111" s="3" t="s">
        <v>27</v>
      </c>
      <c r="J111" s="3">
        <v>22</v>
      </c>
      <c r="K111" s="3">
        <v>899</v>
      </c>
      <c r="L111" s="3" t="s">
        <v>78</v>
      </c>
    </row>
    <row r="112" spans="1:12" x14ac:dyDescent="0.45">
      <c r="A112" s="3" t="s">
        <v>346</v>
      </c>
      <c r="B112" s="3" t="s">
        <v>347</v>
      </c>
      <c r="C112" s="3" t="s">
        <v>14</v>
      </c>
      <c r="D112" s="3" t="s">
        <v>348</v>
      </c>
      <c r="E112" s="4" t="s">
        <v>16</v>
      </c>
      <c r="F112" s="3" t="s">
        <v>349</v>
      </c>
      <c r="G112" s="3" t="s">
        <v>350</v>
      </c>
      <c r="H112" s="3" t="s">
        <v>67</v>
      </c>
      <c r="I112" s="3" t="s">
        <v>20</v>
      </c>
      <c r="J112" s="3">
        <v>23</v>
      </c>
      <c r="K112" s="3">
        <v>134900</v>
      </c>
      <c r="L112" s="3" t="s">
        <v>119</v>
      </c>
    </row>
    <row r="113" spans="1:12" x14ac:dyDescent="0.45">
      <c r="A113" s="3" t="s">
        <v>351</v>
      </c>
      <c r="B113" s="3" t="s">
        <v>352</v>
      </c>
      <c r="C113" s="3" t="s">
        <v>14</v>
      </c>
      <c r="D113" s="3" t="s">
        <v>348</v>
      </c>
      <c r="E113" s="4" t="s">
        <v>16</v>
      </c>
      <c r="F113" s="3" t="s">
        <v>349</v>
      </c>
      <c r="G113" s="3" t="s">
        <v>191</v>
      </c>
      <c r="H113" s="3" t="s">
        <v>95</v>
      </c>
      <c r="I113" s="3" t="s">
        <v>27</v>
      </c>
      <c r="J113" s="3">
        <v>29</v>
      </c>
      <c r="K113" s="3">
        <v>69900</v>
      </c>
      <c r="L113" s="3" t="s">
        <v>78</v>
      </c>
    </row>
    <row r="114" spans="1:12" x14ac:dyDescent="0.45">
      <c r="A114" s="3" t="s">
        <v>353</v>
      </c>
      <c r="B114" s="3" t="s">
        <v>354</v>
      </c>
      <c r="C114" s="3" t="s">
        <v>14</v>
      </c>
      <c r="D114" s="3" t="s">
        <v>348</v>
      </c>
      <c r="E114" s="6" t="s">
        <v>36</v>
      </c>
      <c r="F114" s="3" t="s">
        <v>349</v>
      </c>
      <c r="G114" s="3" t="s">
        <v>230</v>
      </c>
      <c r="H114" s="3" t="s">
        <v>50</v>
      </c>
      <c r="I114" s="3" t="s">
        <v>55</v>
      </c>
      <c r="J114" s="3">
        <v>7</v>
      </c>
      <c r="K114" s="3">
        <v>26900</v>
      </c>
      <c r="L114" s="3" t="s">
        <v>39</v>
      </c>
    </row>
    <row r="115" spans="1:12" x14ac:dyDescent="0.45">
      <c r="A115" s="3" t="s">
        <v>355</v>
      </c>
      <c r="B115" s="3" t="s">
        <v>356</v>
      </c>
      <c r="C115" s="3" t="s">
        <v>14</v>
      </c>
      <c r="D115" s="3" t="s">
        <v>348</v>
      </c>
      <c r="E115" s="7" t="s">
        <v>42</v>
      </c>
      <c r="F115" s="3" t="s">
        <v>349</v>
      </c>
      <c r="G115" s="3" t="s">
        <v>357</v>
      </c>
      <c r="H115" s="3" t="s">
        <v>26</v>
      </c>
      <c r="I115" s="3" t="s">
        <v>27</v>
      </c>
      <c r="J115" s="3">
        <v>30</v>
      </c>
      <c r="K115" s="3">
        <v>41900</v>
      </c>
      <c r="L115" s="3" t="s">
        <v>74</v>
      </c>
    </row>
    <row r="116" spans="1:12" x14ac:dyDescent="0.45">
      <c r="A116" s="3" t="s">
        <v>358</v>
      </c>
      <c r="B116" s="3" t="s">
        <v>359</v>
      </c>
      <c r="C116" s="3" t="s">
        <v>14</v>
      </c>
      <c r="D116" s="3" t="s">
        <v>360</v>
      </c>
      <c r="E116" s="4" t="s">
        <v>16</v>
      </c>
      <c r="F116" s="3" t="s">
        <v>349</v>
      </c>
      <c r="G116" s="3" t="s">
        <v>114</v>
      </c>
      <c r="H116" s="3" t="s">
        <v>95</v>
      </c>
      <c r="I116" s="3" t="s">
        <v>20</v>
      </c>
      <c r="J116" s="3">
        <v>21</v>
      </c>
      <c r="K116" s="3">
        <v>129999</v>
      </c>
      <c r="L116" s="3" t="s">
        <v>361</v>
      </c>
    </row>
    <row r="117" spans="1:12" x14ac:dyDescent="0.45">
      <c r="A117" s="3" t="s">
        <v>362</v>
      </c>
      <c r="B117" s="3" t="s">
        <v>363</v>
      </c>
      <c r="C117" s="3" t="s">
        <v>14</v>
      </c>
      <c r="D117" s="3" t="s">
        <v>360</v>
      </c>
      <c r="E117" s="6" t="s">
        <v>36</v>
      </c>
      <c r="F117" s="3" t="s">
        <v>349</v>
      </c>
      <c r="G117" s="3" t="s">
        <v>256</v>
      </c>
      <c r="H117" s="3" t="s">
        <v>19</v>
      </c>
      <c r="I117" s="3" t="s">
        <v>20</v>
      </c>
      <c r="J117" s="3">
        <v>8</v>
      </c>
      <c r="K117" s="3">
        <v>59999</v>
      </c>
      <c r="L117" s="3" t="s">
        <v>51</v>
      </c>
    </row>
    <row r="118" spans="1:12" x14ac:dyDescent="0.45">
      <c r="A118" s="3" t="s">
        <v>364</v>
      </c>
      <c r="B118" s="3" t="s">
        <v>365</v>
      </c>
      <c r="C118" s="3" t="s">
        <v>14</v>
      </c>
      <c r="D118" s="3" t="s">
        <v>360</v>
      </c>
      <c r="E118" s="5" t="s">
        <v>24</v>
      </c>
      <c r="F118" s="3" t="s">
        <v>349</v>
      </c>
      <c r="G118" s="3" t="s">
        <v>357</v>
      </c>
      <c r="H118" s="3" t="s">
        <v>26</v>
      </c>
      <c r="I118" s="3" t="s">
        <v>27</v>
      </c>
      <c r="J118" s="3">
        <v>13</v>
      </c>
      <c r="K118" s="3">
        <v>17999</v>
      </c>
      <c r="L118" s="3" t="s">
        <v>222</v>
      </c>
    </row>
    <row r="119" spans="1:12" x14ac:dyDescent="0.45">
      <c r="A119" s="3" t="s">
        <v>366</v>
      </c>
      <c r="B119" s="3" t="s">
        <v>367</v>
      </c>
      <c r="C119" s="3" t="s">
        <v>14</v>
      </c>
      <c r="D119" s="3" t="s">
        <v>360</v>
      </c>
      <c r="E119" s="6" t="s">
        <v>36</v>
      </c>
      <c r="F119" s="3" t="s">
        <v>349</v>
      </c>
      <c r="G119" s="3" t="s">
        <v>101</v>
      </c>
      <c r="H119" s="3" t="s">
        <v>50</v>
      </c>
      <c r="I119" s="3" t="s">
        <v>20</v>
      </c>
      <c r="J119" s="3">
        <v>6</v>
      </c>
      <c r="K119" s="3">
        <v>32999</v>
      </c>
      <c r="L119" s="3" t="s">
        <v>51</v>
      </c>
    </row>
    <row r="120" spans="1:12" x14ac:dyDescent="0.45">
      <c r="A120" s="3" t="s">
        <v>368</v>
      </c>
      <c r="B120" s="3" t="s">
        <v>369</v>
      </c>
      <c r="C120" s="3" t="s">
        <v>14</v>
      </c>
      <c r="D120" s="3" t="s">
        <v>370</v>
      </c>
      <c r="E120" s="5" t="s">
        <v>24</v>
      </c>
      <c r="F120" s="3" t="s">
        <v>371</v>
      </c>
      <c r="G120" s="3" t="s">
        <v>372</v>
      </c>
      <c r="H120" s="3" t="s">
        <v>19</v>
      </c>
      <c r="I120" s="3" t="s">
        <v>27</v>
      </c>
      <c r="J120" s="3">
        <v>4</v>
      </c>
      <c r="K120" s="3">
        <v>29990</v>
      </c>
      <c r="L120" s="3" t="s">
        <v>21</v>
      </c>
    </row>
    <row r="121" spans="1:12" x14ac:dyDescent="0.45">
      <c r="A121" s="3" t="s">
        <v>373</v>
      </c>
      <c r="B121" s="3" t="s">
        <v>374</v>
      </c>
      <c r="C121" s="3" t="s">
        <v>14</v>
      </c>
      <c r="D121" s="3" t="s">
        <v>370</v>
      </c>
      <c r="E121" s="6" t="s">
        <v>36</v>
      </c>
      <c r="F121" s="3" t="s">
        <v>371</v>
      </c>
      <c r="G121" s="3" t="s">
        <v>375</v>
      </c>
      <c r="H121" s="3" t="s">
        <v>32</v>
      </c>
      <c r="I121" s="3" t="s">
        <v>55</v>
      </c>
      <c r="J121" s="3">
        <v>5</v>
      </c>
      <c r="K121" s="3">
        <v>54990</v>
      </c>
      <c r="L121" s="3" t="s">
        <v>39</v>
      </c>
    </row>
    <row r="122" spans="1:12" x14ac:dyDescent="0.45">
      <c r="A122" s="3" t="s">
        <v>376</v>
      </c>
      <c r="B122" s="3" t="s">
        <v>377</v>
      </c>
      <c r="C122" s="3" t="s">
        <v>14</v>
      </c>
      <c r="D122" s="3" t="s">
        <v>370</v>
      </c>
      <c r="E122" s="6" t="s">
        <v>36</v>
      </c>
      <c r="F122" s="3" t="s">
        <v>371</v>
      </c>
      <c r="G122" s="3" t="s">
        <v>378</v>
      </c>
      <c r="H122" s="3" t="s">
        <v>32</v>
      </c>
      <c r="I122" s="3" t="s">
        <v>20</v>
      </c>
      <c r="J122" s="3">
        <v>7</v>
      </c>
      <c r="K122" s="3">
        <v>79990</v>
      </c>
      <c r="L122" s="3" t="s">
        <v>39</v>
      </c>
    </row>
    <row r="123" spans="1:12" x14ac:dyDescent="0.45">
      <c r="A123" s="3" t="s">
        <v>379</v>
      </c>
      <c r="B123" s="3" t="s">
        <v>380</v>
      </c>
      <c r="C123" s="3" t="s">
        <v>14</v>
      </c>
      <c r="D123" s="3" t="s">
        <v>348</v>
      </c>
      <c r="E123" s="7" t="s">
        <v>42</v>
      </c>
      <c r="F123" s="3" t="s">
        <v>349</v>
      </c>
      <c r="G123" s="3" t="s">
        <v>378</v>
      </c>
      <c r="H123" s="3" t="s">
        <v>26</v>
      </c>
      <c r="I123" s="3" t="s">
        <v>27</v>
      </c>
      <c r="J123" s="3">
        <v>22</v>
      </c>
      <c r="K123" s="3">
        <v>94990</v>
      </c>
      <c r="L123" s="3" t="s">
        <v>222</v>
      </c>
    </row>
    <row r="124" spans="1:12" x14ac:dyDescent="0.45">
      <c r="A124" s="3" t="s">
        <v>381</v>
      </c>
      <c r="B124" s="3" t="s">
        <v>382</v>
      </c>
      <c r="C124" s="3" t="s">
        <v>14</v>
      </c>
      <c r="D124" s="3" t="s">
        <v>348</v>
      </c>
      <c r="E124" s="6" t="s">
        <v>36</v>
      </c>
      <c r="F124" s="3" t="s">
        <v>349</v>
      </c>
      <c r="G124" s="3" t="s">
        <v>383</v>
      </c>
      <c r="H124" s="3" t="s">
        <v>19</v>
      </c>
      <c r="I124" s="3" t="s">
        <v>20</v>
      </c>
      <c r="J124" s="3">
        <v>5</v>
      </c>
      <c r="K124" s="3">
        <v>54990</v>
      </c>
      <c r="L124" s="3" t="s">
        <v>51</v>
      </c>
    </row>
    <row r="125" spans="1:12" x14ac:dyDescent="0.45">
      <c r="A125" s="3" t="s">
        <v>384</v>
      </c>
      <c r="B125" s="3" t="s">
        <v>385</v>
      </c>
      <c r="C125" s="3" t="s">
        <v>14</v>
      </c>
      <c r="D125" s="3" t="s">
        <v>386</v>
      </c>
      <c r="E125" s="4" t="s">
        <v>16</v>
      </c>
      <c r="F125" s="3" t="s">
        <v>349</v>
      </c>
      <c r="G125" s="3" t="s">
        <v>335</v>
      </c>
      <c r="H125" s="3" t="s">
        <v>26</v>
      </c>
      <c r="I125" s="3" t="s">
        <v>27</v>
      </c>
      <c r="J125" s="3">
        <v>12</v>
      </c>
      <c r="K125" s="3">
        <v>49990</v>
      </c>
      <c r="L125" s="3" t="s">
        <v>166</v>
      </c>
    </row>
    <row r="126" spans="1:12" x14ac:dyDescent="0.45">
      <c r="A126" s="3" t="s">
        <v>387</v>
      </c>
      <c r="B126" s="3" t="s">
        <v>388</v>
      </c>
      <c r="C126" s="3" t="s">
        <v>14</v>
      </c>
      <c r="D126" s="3" t="s">
        <v>389</v>
      </c>
      <c r="E126" s="6" t="s">
        <v>36</v>
      </c>
      <c r="F126" s="3" t="s">
        <v>371</v>
      </c>
      <c r="G126" s="3" t="s">
        <v>125</v>
      </c>
      <c r="H126" s="3" t="s">
        <v>95</v>
      </c>
      <c r="I126" s="3" t="s">
        <v>55</v>
      </c>
      <c r="J126" s="3">
        <v>5</v>
      </c>
      <c r="K126" s="3">
        <v>39990</v>
      </c>
      <c r="L126" s="3" t="s">
        <v>51</v>
      </c>
    </row>
    <row r="127" spans="1:12" x14ac:dyDescent="0.45">
      <c r="A127" s="3" t="s">
        <v>390</v>
      </c>
      <c r="B127" s="3" t="s">
        <v>391</v>
      </c>
      <c r="C127" s="3" t="s">
        <v>14</v>
      </c>
      <c r="D127" s="3" t="s">
        <v>348</v>
      </c>
      <c r="E127" s="4" t="s">
        <v>16</v>
      </c>
      <c r="F127" s="3" t="s">
        <v>349</v>
      </c>
      <c r="G127" s="3" t="s">
        <v>279</v>
      </c>
      <c r="H127" s="3" t="s">
        <v>62</v>
      </c>
      <c r="I127" s="3" t="s">
        <v>20</v>
      </c>
      <c r="J127" s="3">
        <v>16</v>
      </c>
      <c r="K127" s="3">
        <v>12999</v>
      </c>
      <c r="L127" s="3" t="s">
        <v>361</v>
      </c>
    </row>
    <row r="128" spans="1:12" x14ac:dyDescent="0.45">
      <c r="A128" s="3" t="s">
        <v>392</v>
      </c>
      <c r="B128" s="3" t="s">
        <v>393</v>
      </c>
      <c r="C128" s="3" t="s">
        <v>14</v>
      </c>
      <c r="D128" s="3" t="s">
        <v>348</v>
      </c>
      <c r="E128" s="5" t="s">
        <v>24</v>
      </c>
      <c r="F128" s="3" t="s">
        <v>349</v>
      </c>
      <c r="G128" s="3" t="s">
        <v>394</v>
      </c>
      <c r="H128" s="3" t="s">
        <v>26</v>
      </c>
      <c r="I128" s="3" t="s">
        <v>20</v>
      </c>
      <c r="J128" s="3">
        <v>23</v>
      </c>
      <c r="K128" s="3">
        <v>2999</v>
      </c>
      <c r="L128" s="3" t="s">
        <v>222</v>
      </c>
    </row>
    <row r="129" spans="1:12" x14ac:dyDescent="0.45">
      <c r="A129" s="3" t="s">
        <v>395</v>
      </c>
      <c r="B129" s="3" t="s">
        <v>396</v>
      </c>
      <c r="C129" s="3" t="s">
        <v>14</v>
      </c>
      <c r="D129" s="3" t="s">
        <v>348</v>
      </c>
      <c r="E129" s="7" t="s">
        <v>42</v>
      </c>
      <c r="F129" s="3" t="s">
        <v>349</v>
      </c>
      <c r="G129" s="3" t="s">
        <v>70</v>
      </c>
      <c r="H129" s="3" t="s">
        <v>67</v>
      </c>
      <c r="I129" s="3" t="s">
        <v>27</v>
      </c>
      <c r="J129" s="3">
        <v>11</v>
      </c>
      <c r="K129" s="3">
        <v>32900</v>
      </c>
      <c r="L129" s="3" t="s">
        <v>39</v>
      </c>
    </row>
    <row r="130" spans="1:12" x14ac:dyDescent="0.45">
      <c r="A130" s="3" t="s">
        <v>397</v>
      </c>
      <c r="B130" s="3" t="s">
        <v>398</v>
      </c>
      <c r="C130" s="3" t="s">
        <v>14</v>
      </c>
      <c r="D130" s="3" t="s">
        <v>399</v>
      </c>
      <c r="E130" s="5" t="s">
        <v>24</v>
      </c>
      <c r="F130" s="3" t="s">
        <v>371</v>
      </c>
      <c r="G130" s="3" t="s">
        <v>274</v>
      </c>
      <c r="H130" s="3" t="s">
        <v>38</v>
      </c>
      <c r="I130" s="3" t="s">
        <v>20</v>
      </c>
      <c r="J130" s="3">
        <v>11</v>
      </c>
      <c r="K130" s="3">
        <v>12999</v>
      </c>
      <c r="L130" s="3" t="s">
        <v>21</v>
      </c>
    </row>
    <row r="131" spans="1:12" x14ac:dyDescent="0.45">
      <c r="A131" s="3" t="s">
        <v>400</v>
      </c>
      <c r="B131" s="3" t="s">
        <v>401</v>
      </c>
      <c r="C131" s="3" t="s">
        <v>14</v>
      </c>
      <c r="D131" s="3" t="s">
        <v>348</v>
      </c>
      <c r="E131" s="5" t="s">
        <v>24</v>
      </c>
      <c r="F131" s="3" t="s">
        <v>349</v>
      </c>
      <c r="G131" s="3" t="s">
        <v>402</v>
      </c>
      <c r="H131" s="3" t="s">
        <v>95</v>
      </c>
      <c r="I131" s="3" t="s">
        <v>27</v>
      </c>
      <c r="J131" s="3">
        <v>22</v>
      </c>
      <c r="K131" s="3">
        <v>44999</v>
      </c>
      <c r="L131" s="3" t="s">
        <v>85</v>
      </c>
    </row>
    <row r="132" spans="1:12" x14ac:dyDescent="0.45">
      <c r="A132" s="3" t="s">
        <v>403</v>
      </c>
      <c r="B132" s="3" t="s">
        <v>404</v>
      </c>
      <c r="C132" s="3" t="s">
        <v>14</v>
      </c>
      <c r="D132" s="3" t="s">
        <v>370</v>
      </c>
      <c r="E132" s="4" t="s">
        <v>16</v>
      </c>
      <c r="F132" s="3" t="s">
        <v>371</v>
      </c>
      <c r="G132" s="3" t="s">
        <v>262</v>
      </c>
      <c r="H132" s="3" t="s">
        <v>32</v>
      </c>
      <c r="I132" s="3" t="s">
        <v>27</v>
      </c>
      <c r="J132" s="3">
        <v>12</v>
      </c>
      <c r="K132" s="3">
        <v>34999</v>
      </c>
      <c r="L132" s="3" t="s">
        <v>63</v>
      </c>
    </row>
    <row r="133" spans="1:12" x14ac:dyDescent="0.45">
      <c r="A133" s="3" t="s">
        <v>405</v>
      </c>
      <c r="B133" s="3" t="s">
        <v>406</v>
      </c>
      <c r="C133" s="3" t="s">
        <v>14</v>
      </c>
      <c r="D133" s="3" t="s">
        <v>370</v>
      </c>
      <c r="E133" s="7" t="s">
        <v>42</v>
      </c>
      <c r="F133" s="3" t="s">
        <v>371</v>
      </c>
      <c r="G133" s="3" t="s">
        <v>407</v>
      </c>
      <c r="H133" s="3" t="s">
        <v>95</v>
      </c>
      <c r="I133" s="3" t="s">
        <v>27</v>
      </c>
      <c r="J133" s="3">
        <v>24</v>
      </c>
      <c r="K133" s="3">
        <v>31999</v>
      </c>
      <c r="L133" s="3" t="s">
        <v>74</v>
      </c>
    </row>
    <row r="134" spans="1:12" x14ac:dyDescent="0.45">
      <c r="A134" s="3" t="s">
        <v>408</v>
      </c>
      <c r="B134" s="3" t="s">
        <v>409</v>
      </c>
      <c r="C134" s="3" t="s">
        <v>14</v>
      </c>
      <c r="D134" s="3" t="s">
        <v>370</v>
      </c>
      <c r="E134" s="6" t="s">
        <v>36</v>
      </c>
      <c r="F134" s="3" t="s">
        <v>349</v>
      </c>
      <c r="G134" s="3" t="s">
        <v>410</v>
      </c>
      <c r="H134" s="3" t="s">
        <v>95</v>
      </c>
      <c r="I134" s="3" t="s">
        <v>55</v>
      </c>
      <c r="J134" s="3">
        <v>5</v>
      </c>
      <c r="K134" s="3">
        <v>33999</v>
      </c>
      <c r="L134" s="3" t="s">
        <v>51</v>
      </c>
    </row>
    <row r="135" spans="1:12" x14ac:dyDescent="0.45">
      <c r="A135" s="3" t="s">
        <v>411</v>
      </c>
      <c r="B135" s="3" t="s">
        <v>412</v>
      </c>
      <c r="C135" s="3" t="s">
        <v>14</v>
      </c>
      <c r="D135" s="3" t="s">
        <v>348</v>
      </c>
      <c r="E135" s="7" t="s">
        <v>42</v>
      </c>
      <c r="F135" s="3" t="s">
        <v>349</v>
      </c>
      <c r="G135" s="3" t="s">
        <v>205</v>
      </c>
      <c r="H135" s="3" t="s">
        <v>26</v>
      </c>
      <c r="I135" s="3" t="s">
        <v>27</v>
      </c>
      <c r="J135" s="3">
        <v>30</v>
      </c>
      <c r="K135" s="3">
        <v>37990</v>
      </c>
      <c r="L135" s="3" t="s">
        <v>119</v>
      </c>
    </row>
    <row r="136" spans="1:12" x14ac:dyDescent="0.45">
      <c r="A136" s="3" t="s">
        <v>413</v>
      </c>
      <c r="B136" s="3" t="s">
        <v>414</v>
      </c>
      <c r="C136" s="3" t="s">
        <v>14</v>
      </c>
      <c r="D136" s="3" t="s">
        <v>415</v>
      </c>
      <c r="E136" s="4" t="s">
        <v>16</v>
      </c>
      <c r="F136" s="3" t="s">
        <v>371</v>
      </c>
      <c r="G136" s="3" t="s">
        <v>402</v>
      </c>
      <c r="H136" s="3" t="s">
        <v>95</v>
      </c>
      <c r="I136" s="3" t="s">
        <v>27</v>
      </c>
      <c r="J136" s="3">
        <v>30</v>
      </c>
      <c r="K136" s="3">
        <v>8995</v>
      </c>
      <c r="L136" s="3" t="s">
        <v>28</v>
      </c>
    </row>
    <row r="137" spans="1:12" x14ac:dyDescent="0.45">
      <c r="A137" s="3" t="s">
        <v>416</v>
      </c>
      <c r="B137" s="3" t="s">
        <v>417</v>
      </c>
      <c r="C137" s="3" t="s">
        <v>14</v>
      </c>
      <c r="D137" s="3" t="s">
        <v>415</v>
      </c>
      <c r="E137" s="6" t="s">
        <v>36</v>
      </c>
      <c r="F137" s="3" t="s">
        <v>371</v>
      </c>
      <c r="G137" s="3" t="s">
        <v>135</v>
      </c>
      <c r="H137" s="3" t="s">
        <v>32</v>
      </c>
      <c r="I137" s="3" t="s">
        <v>20</v>
      </c>
      <c r="J137" s="3">
        <v>7</v>
      </c>
      <c r="K137" s="3">
        <v>2795</v>
      </c>
      <c r="L137" s="3" t="s">
        <v>51</v>
      </c>
    </row>
    <row r="138" spans="1:12" x14ac:dyDescent="0.45">
      <c r="A138" s="3" t="s">
        <v>418</v>
      </c>
      <c r="B138" s="3" t="s">
        <v>419</v>
      </c>
      <c r="C138" s="3" t="s">
        <v>14</v>
      </c>
      <c r="D138" s="3" t="s">
        <v>386</v>
      </c>
      <c r="E138" s="6" t="s">
        <v>36</v>
      </c>
      <c r="F138" s="3" t="s">
        <v>349</v>
      </c>
      <c r="G138" s="3" t="s">
        <v>91</v>
      </c>
      <c r="H138" s="3" t="s">
        <v>67</v>
      </c>
      <c r="I138" s="3" t="s">
        <v>20</v>
      </c>
      <c r="J138" s="3">
        <v>6</v>
      </c>
      <c r="K138" s="3">
        <v>2999</v>
      </c>
      <c r="L138" s="3" t="s">
        <v>51</v>
      </c>
    </row>
    <row r="139" spans="1:12" x14ac:dyDescent="0.45">
      <c r="A139" s="3" t="s">
        <v>420</v>
      </c>
      <c r="B139" s="3" t="s">
        <v>421</v>
      </c>
      <c r="C139" s="3" t="s">
        <v>14</v>
      </c>
      <c r="D139" s="3" t="s">
        <v>348</v>
      </c>
      <c r="E139" s="5" t="s">
        <v>24</v>
      </c>
      <c r="F139" s="3" t="s">
        <v>349</v>
      </c>
      <c r="G139" s="3" t="s">
        <v>317</v>
      </c>
      <c r="H139" s="3" t="s">
        <v>67</v>
      </c>
      <c r="I139" s="3" t="s">
        <v>27</v>
      </c>
      <c r="J139" s="3">
        <v>2</v>
      </c>
      <c r="K139" s="3">
        <v>5499</v>
      </c>
      <c r="L139" s="3" t="s">
        <v>63</v>
      </c>
    </row>
    <row r="140" spans="1:12" x14ac:dyDescent="0.45">
      <c r="A140" s="3" t="s">
        <v>422</v>
      </c>
      <c r="B140" s="3" t="s">
        <v>423</v>
      </c>
      <c r="C140" s="3" t="s">
        <v>14</v>
      </c>
      <c r="D140" s="3" t="s">
        <v>348</v>
      </c>
      <c r="E140" s="4" t="s">
        <v>16</v>
      </c>
      <c r="F140" s="3" t="s">
        <v>349</v>
      </c>
      <c r="G140" s="3" t="s">
        <v>111</v>
      </c>
      <c r="H140" s="3" t="s">
        <v>19</v>
      </c>
      <c r="I140" s="3" t="s">
        <v>27</v>
      </c>
      <c r="J140" s="3">
        <v>30</v>
      </c>
      <c r="K140" s="3">
        <v>2799</v>
      </c>
      <c r="L140" s="3" t="s">
        <v>163</v>
      </c>
    </row>
    <row r="141" spans="1:12" x14ac:dyDescent="0.45">
      <c r="A141" s="3" t="s">
        <v>424</v>
      </c>
      <c r="B141" s="3" t="s">
        <v>425</v>
      </c>
      <c r="C141" s="3" t="s">
        <v>14</v>
      </c>
      <c r="D141" s="3" t="s">
        <v>348</v>
      </c>
      <c r="E141" s="6" t="s">
        <v>36</v>
      </c>
      <c r="F141" s="3" t="s">
        <v>349</v>
      </c>
      <c r="G141" s="3" t="s">
        <v>279</v>
      </c>
      <c r="H141" s="3" t="s">
        <v>95</v>
      </c>
      <c r="I141" s="3" t="s">
        <v>55</v>
      </c>
      <c r="J141" s="3">
        <v>5</v>
      </c>
      <c r="K141" s="3">
        <v>6999</v>
      </c>
      <c r="L141" s="3" t="s">
        <v>51</v>
      </c>
    </row>
    <row r="142" spans="1:12" x14ac:dyDescent="0.45">
      <c r="A142" s="3" t="s">
        <v>426</v>
      </c>
      <c r="B142" s="3" t="s">
        <v>427</v>
      </c>
      <c r="C142" s="3" t="s">
        <v>14</v>
      </c>
      <c r="D142" s="3" t="s">
        <v>348</v>
      </c>
      <c r="E142" s="7" t="s">
        <v>42</v>
      </c>
      <c r="F142" s="3" t="s">
        <v>349</v>
      </c>
      <c r="G142" s="3" t="s">
        <v>428</v>
      </c>
      <c r="H142" s="3" t="s">
        <v>62</v>
      </c>
      <c r="I142" s="3" t="s">
        <v>27</v>
      </c>
      <c r="J142" s="3">
        <v>19</v>
      </c>
      <c r="K142" s="3">
        <v>5499</v>
      </c>
      <c r="L142" s="3" t="s">
        <v>119</v>
      </c>
    </row>
    <row r="143" spans="1:12" x14ac:dyDescent="0.45">
      <c r="A143" s="3" t="s">
        <v>429</v>
      </c>
      <c r="B143" s="3" t="s">
        <v>430</v>
      </c>
      <c r="C143" s="3" t="s">
        <v>14</v>
      </c>
      <c r="D143" s="3" t="s">
        <v>386</v>
      </c>
      <c r="E143" s="6" t="s">
        <v>36</v>
      </c>
      <c r="F143" s="3" t="s">
        <v>349</v>
      </c>
      <c r="G143" s="3" t="s">
        <v>410</v>
      </c>
      <c r="H143" s="3" t="s">
        <v>62</v>
      </c>
      <c r="I143" s="3" t="s">
        <v>55</v>
      </c>
      <c r="J143" s="3">
        <v>11</v>
      </c>
      <c r="K143" s="3">
        <v>2199</v>
      </c>
      <c r="L143" s="3" t="s">
        <v>51</v>
      </c>
    </row>
    <row r="144" spans="1:12" x14ac:dyDescent="0.45">
      <c r="A144" s="3" t="s">
        <v>431</v>
      </c>
      <c r="B144" s="3" t="s">
        <v>432</v>
      </c>
      <c r="C144" s="3" t="s">
        <v>14</v>
      </c>
      <c r="D144" s="3" t="s">
        <v>348</v>
      </c>
      <c r="E144" s="7" t="s">
        <v>42</v>
      </c>
      <c r="F144" s="3" t="s">
        <v>349</v>
      </c>
      <c r="G144" s="3" t="s">
        <v>58</v>
      </c>
      <c r="H144" s="3" t="s">
        <v>38</v>
      </c>
      <c r="I144" s="3" t="s">
        <v>27</v>
      </c>
      <c r="J144" s="3">
        <v>12</v>
      </c>
      <c r="K144" s="3">
        <v>12999</v>
      </c>
      <c r="L144" s="3" t="s">
        <v>33</v>
      </c>
    </row>
    <row r="145" spans="1:12" x14ac:dyDescent="0.45">
      <c r="A145" s="3" t="s">
        <v>433</v>
      </c>
      <c r="B145" s="3" t="s">
        <v>434</v>
      </c>
      <c r="C145" s="3" t="s">
        <v>14</v>
      </c>
      <c r="D145" s="3" t="s">
        <v>348</v>
      </c>
      <c r="E145" s="7" t="s">
        <v>42</v>
      </c>
      <c r="F145" s="3" t="s">
        <v>349</v>
      </c>
      <c r="G145" s="3" t="s">
        <v>435</v>
      </c>
      <c r="H145" s="3" t="s">
        <v>67</v>
      </c>
      <c r="I145" s="3" t="s">
        <v>27</v>
      </c>
      <c r="J145" s="3">
        <v>30</v>
      </c>
      <c r="K145" s="3">
        <v>3999</v>
      </c>
      <c r="L145" s="3" t="s">
        <v>33</v>
      </c>
    </row>
    <row r="146" spans="1:12" x14ac:dyDescent="0.45">
      <c r="A146" s="3" t="s">
        <v>436</v>
      </c>
      <c r="B146" s="3" t="s">
        <v>437</v>
      </c>
      <c r="C146" s="3" t="s">
        <v>14</v>
      </c>
      <c r="D146" s="3" t="s">
        <v>348</v>
      </c>
      <c r="E146" s="4" t="s">
        <v>16</v>
      </c>
      <c r="F146" s="3" t="s">
        <v>349</v>
      </c>
      <c r="G146" s="3" t="s">
        <v>438</v>
      </c>
      <c r="H146" s="3" t="s">
        <v>32</v>
      </c>
      <c r="I146" s="3" t="s">
        <v>27</v>
      </c>
      <c r="J146" s="3">
        <v>22</v>
      </c>
      <c r="K146" s="3">
        <v>4999</v>
      </c>
      <c r="L146" s="3" t="s">
        <v>126</v>
      </c>
    </row>
    <row r="147" spans="1:12" x14ac:dyDescent="0.45">
      <c r="A147" s="3" t="s">
        <v>439</v>
      </c>
      <c r="B147" s="3" t="s">
        <v>440</v>
      </c>
      <c r="C147" s="3" t="s">
        <v>133</v>
      </c>
      <c r="D147" s="3" t="s">
        <v>348</v>
      </c>
      <c r="E147" s="5" t="s">
        <v>24</v>
      </c>
      <c r="F147" s="3" t="s">
        <v>441</v>
      </c>
      <c r="G147" s="3" t="s">
        <v>188</v>
      </c>
      <c r="H147" s="3" t="s">
        <v>19</v>
      </c>
      <c r="I147" s="3" t="s">
        <v>27</v>
      </c>
      <c r="J147" s="3">
        <v>25</v>
      </c>
      <c r="K147" s="3">
        <v>365</v>
      </c>
      <c r="L147" s="3" t="s">
        <v>145</v>
      </c>
    </row>
    <row r="148" spans="1:12" x14ac:dyDescent="0.45">
      <c r="A148" s="3" t="s">
        <v>442</v>
      </c>
      <c r="B148" s="3" t="s">
        <v>443</v>
      </c>
      <c r="C148" s="3" t="s">
        <v>133</v>
      </c>
      <c r="D148" s="3" t="s">
        <v>348</v>
      </c>
      <c r="E148" s="5" t="s">
        <v>24</v>
      </c>
      <c r="F148" s="3" t="s">
        <v>441</v>
      </c>
      <c r="G148" s="3" t="s">
        <v>262</v>
      </c>
      <c r="H148" s="3" t="s">
        <v>19</v>
      </c>
      <c r="I148" s="3" t="s">
        <v>20</v>
      </c>
      <c r="J148" s="3">
        <v>23</v>
      </c>
      <c r="K148" s="3">
        <v>215</v>
      </c>
      <c r="L148" s="3" t="s">
        <v>85</v>
      </c>
    </row>
    <row r="149" spans="1:12" x14ac:dyDescent="0.45">
      <c r="A149" s="3" t="s">
        <v>444</v>
      </c>
      <c r="B149" s="3" t="s">
        <v>445</v>
      </c>
      <c r="C149" s="3" t="s">
        <v>133</v>
      </c>
      <c r="D149" s="3" t="s">
        <v>415</v>
      </c>
      <c r="E149" s="7" t="s">
        <v>42</v>
      </c>
      <c r="F149" s="3" t="s">
        <v>441</v>
      </c>
      <c r="G149" s="3" t="s">
        <v>18</v>
      </c>
      <c r="H149" s="3" t="s">
        <v>26</v>
      </c>
      <c r="I149" s="3" t="s">
        <v>27</v>
      </c>
      <c r="J149" s="3">
        <v>15</v>
      </c>
      <c r="K149" s="3">
        <v>40</v>
      </c>
      <c r="L149" s="3" t="s">
        <v>63</v>
      </c>
    </row>
    <row r="150" spans="1:12" x14ac:dyDescent="0.45">
      <c r="A150" s="3" t="s">
        <v>446</v>
      </c>
      <c r="B150" s="3" t="s">
        <v>447</v>
      </c>
      <c r="C150" s="3" t="s">
        <v>133</v>
      </c>
      <c r="D150" s="3" t="s">
        <v>415</v>
      </c>
      <c r="E150" s="5" t="s">
        <v>24</v>
      </c>
      <c r="F150" s="3" t="s">
        <v>441</v>
      </c>
      <c r="G150" s="3" t="s">
        <v>375</v>
      </c>
      <c r="H150" s="3" t="s">
        <v>38</v>
      </c>
      <c r="I150" s="3" t="s">
        <v>27</v>
      </c>
      <c r="J150" s="3">
        <v>9</v>
      </c>
      <c r="K150" s="3">
        <v>10</v>
      </c>
      <c r="L150" s="3" t="s">
        <v>28</v>
      </c>
    </row>
    <row r="151" spans="1:12" x14ac:dyDescent="0.45">
      <c r="A151" s="3" t="s">
        <v>448</v>
      </c>
      <c r="B151" s="3" t="s">
        <v>449</v>
      </c>
      <c r="C151" s="3" t="s">
        <v>133</v>
      </c>
      <c r="D151" s="3" t="s">
        <v>415</v>
      </c>
      <c r="E151" s="6" t="s">
        <v>36</v>
      </c>
      <c r="F151" s="3" t="s">
        <v>441</v>
      </c>
      <c r="G151" s="3" t="s">
        <v>450</v>
      </c>
      <c r="H151" s="3" t="s">
        <v>19</v>
      </c>
      <c r="I151" s="3" t="s">
        <v>55</v>
      </c>
      <c r="J151" s="3">
        <v>6</v>
      </c>
      <c r="K151" s="3">
        <v>85</v>
      </c>
      <c r="L151" s="3" t="s">
        <v>39</v>
      </c>
    </row>
    <row r="152" spans="1:12" x14ac:dyDescent="0.45">
      <c r="A152" s="3" t="s">
        <v>451</v>
      </c>
      <c r="B152" s="3" t="s">
        <v>452</v>
      </c>
      <c r="C152" s="3" t="s">
        <v>133</v>
      </c>
      <c r="D152" s="3" t="s">
        <v>348</v>
      </c>
      <c r="E152" s="6" t="s">
        <v>36</v>
      </c>
      <c r="F152" s="3" t="s">
        <v>441</v>
      </c>
      <c r="G152" s="3" t="s">
        <v>453</v>
      </c>
      <c r="H152" s="3" t="s">
        <v>32</v>
      </c>
      <c r="I152" s="3" t="s">
        <v>20</v>
      </c>
      <c r="J152" s="3">
        <v>8</v>
      </c>
      <c r="K152" s="3">
        <v>90</v>
      </c>
      <c r="L152" s="3" t="s">
        <v>39</v>
      </c>
    </row>
    <row r="153" spans="1:12" x14ac:dyDescent="0.45">
      <c r="A153" s="3" t="s">
        <v>454</v>
      </c>
      <c r="B153" s="3" t="s">
        <v>455</v>
      </c>
      <c r="C153" s="3" t="s">
        <v>133</v>
      </c>
      <c r="D153" s="3" t="s">
        <v>348</v>
      </c>
      <c r="E153" s="6" t="s">
        <v>36</v>
      </c>
      <c r="F153" s="3" t="s">
        <v>441</v>
      </c>
      <c r="G153" s="3" t="s">
        <v>456</v>
      </c>
      <c r="H153" s="3" t="s">
        <v>95</v>
      </c>
      <c r="I153" s="3" t="s">
        <v>20</v>
      </c>
      <c r="J153" s="3">
        <v>6</v>
      </c>
      <c r="K153" s="3">
        <v>40</v>
      </c>
      <c r="L153" s="3" t="s">
        <v>51</v>
      </c>
    </row>
    <row r="154" spans="1:12" x14ac:dyDescent="0.45">
      <c r="A154" s="3" t="s">
        <v>457</v>
      </c>
      <c r="B154" s="3" t="s">
        <v>458</v>
      </c>
      <c r="C154" s="3" t="s">
        <v>133</v>
      </c>
      <c r="D154" s="3" t="s">
        <v>459</v>
      </c>
      <c r="E154" s="6" t="s">
        <v>36</v>
      </c>
      <c r="F154" s="3" t="s">
        <v>371</v>
      </c>
      <c r="G154" s="3" t="s">
        <v>456</v>
      </c>
      <c r="H154" s="3" t="s">
        <v>50</v>
      </c>
      <c r="I154" s="3" t="s">
        <v>55</v>
      </c>
      <c r="J154" s="3">
        <v>12</v>
      </c>
      <c r="K154" s="3">
        <v>125</v>
      </c>
      <c r="L154" s="3" t="s">
        <v>39</v>
      </c>
    </row>
    <row r="155" spans="1:12" x14ac:dyDescent="0.45">
      <c r="A155" s="3" t="s">
        <v>460</v>
      </c>
      <c r="B155" s="3" t="s">
        <v>461</v>
      </c>
      <c r="C155" s="3" t="s">
        <v>133</v>
      </c>
      <c r="D155" s="3" t="s">
        <v>348</v>
      </c>
      <c r="E155" s="5" t="s">
        <v>24</v>
      </c>
      <c r="F155" s="3" t="s">
        <v>441</v>
      </c>
      <c r="G155" s="3" t="s">
        <v>428</v>
      </c>
      <c r="H155" s="3" t="s">
        <v>19</v>
      </c>
      <c r="I155" s="3" t="s">
        <v>20</v>
      </c>
      <c r="J155" s="3">
        <v>24</v>
      </c>
      <c r="K155" s="3">
        <v>150</v>
      </c>
      <c r="L155" s="3" t="s">
        <v>78</v>
      </c>
    </row>
    <row r="156" spans="1:12" x14ac:dyDescent="0.45">
      <c r="A156" s="3" t="s">
        <v>462</v>
      </c>
      <c r="B156" s="3" t="s">
        <v>463</v>
      </c>
      <c r="C156" s="3" t="s">
        <v>133</v>
      </c>
      <c r="D156" s="3" t="s">
        <v>464</v>
      </c>
      <c r="E156" s="6" t="s">
        <v>36</v>
      </c>
      <c r="F156" s="3" t="s">
        <v>371</v>
      </c>
      <c r="G156" s="3" t="s">
        <v>465</v>
      </c>
      <c r="H156" s="3" t="s">
        <v>26</v>
      </c>
      <c r="I156" s="3" t="s">
        <v>20</v>
      </c>
      <c r="J156" s="3">
        <v>7</v>
      </c>
      <c r="K156" s="3">
        <v>399</v>
      </c>
      <c r="L156" s="3" t="s">
        <v>51</v>
      </c>
    </row>
    <row r="157" spans="1:12" x14ac:dyDescent="0.45">
      <c r="A157" s="3" t="s">
        <v>466</v>
      </c>
      <c r="B157" s="3" t="s">
        <v>467</v>
      </c>
      <c r="C157" s="3" t="s">
        <v>133</v>
      </c>
      <c r="D157" s="3" t="s">
        <v>415</v>
      </c>
      <c r="E157" s="4" t="s">
        <v>16</v>
      </c>
      <c r="F157" s="3" t="s">
        <v>371</v>
      </c>
      <c r="G157" s="3" t="s">
        <v>357</v>
      </c>
      <c r="H157" s="3" t="s">
        <v>95</v>
      </c>
      <c r="I157" s="3" t="s">
        <v>20</v>
      </c>
      <c r="J157" s="3">
        <v>14</v>
      </c>
      <c r="K157" s="3">
        <v>750</v>
      </c>
      <c r="L157" s="3" t="s">
        <v>119</v>
      </c>
    </row>
    <row r="158" spans="1:12" x14ac:dyDescent="0.45">
      <c r="A158" s="3" t="s">
        <v>468</v>
      </c>
      <c r="B158" s="3" t="s">
        <v>469</v>
      </c>
      <c r="C158" s="3" t="s">
        <v>133</v>
      </c>
      <c r="D158" s="3" t="s">
        <v>415</v>
      </c>
      <c r="E158" s="6" t="s">
        <v>36</v>
      </c>
      <c r="F158" s="3" t="s">
        <v>371</v>
      </c>
      <c r="G158" s="3" t="s">
        <v>122</v>
      </c>
      <c r="H158" s="3" t="s">
        <v>95</v>
      </c>
      <c r="I158" s="3" t="s">
        <v>55</v>
      </c>
      <c r="J158" s="3">
        <v>12</v>
      </c>
      <c r="K158" s="3">
        <v>275</v>
      </c>
      <c r="L158" s="3" t="s">
        <v>39</v>
      </c>
    </row>
    <row r="159" spans="1:12" x14ac:dyDescent="0.45">
      <c r="A159" s="3" t="s">
        <v>470</v>
      </c>
      <c r="B159" s="3" t="s">
        <v>471</v>
      </c>
      <c r="C159" s="3" t="s">
        <v>133</v>
      </c>
      <c r="D159" s="3" t="s">
        <v>399</v>
      </c>
      <c r="E159" s="5" t="s">
        <v>24</v>
      </c>
      <c r="F159" s="3" t="s">
        <v>371</v>
      </c>
      <c r="G159" s="3" t="s">
        <v>338</v>
      </c>
      <c r="H159" s="3" t="s">
        <v>38</v>
      </c>
      <c r="I159" s="3" t="s">
        <v>27</v>
      </c>
      <c r="J159" s="3">
        <v>2</v>
      </c>
      <c r="K159" s="3">
        <v>130</v>
      </c>
      <c r="L159" s="3" t="s">
        <v>63</v>
      </c>
    </row>
    <row r="160" spans="1:12" x14ac:dyDescent="0.45">
      <c r="A160" s="3" t="s">
        <v>472</v>
      </c>
      <c r="B160" s="3" t="s">
        <v>473</v>
      </c>
      <c r="C160" s="3" t="s">
        <v>133</v>
      </c>
      <c r="D160" s="3" t="s">
        <v>348</v>
      </c>
      <c r="E160" s="7" t="s">
        <v>42</v>
      </c>
      <c r="F160" s="3" t="s">
        <v>441</v>
      </c>
      <c r="G160" s="3" t="s">
        <v>94</v>
      </c>
      <c r="H160" s="3" t="s">
        <v>50</v>
      </c>
      <c r="I160" s="3" t="s">
        <v>27</v>
      </c>
      <c r="J160" s="3">
        <v>10</v>
      </c>
      <c r="K160" s="3">
        <v>20</v>
      </c>
      <c r="L160" s="3" t="s">
        <v>105</v>
      </c>
    </row>
    <row r="161" spans="1:12" x14ac:dyDescent="0.45">
      <c r="A161" s="3" t="s">
        <v>474</v>
      </c>
      <c r="B161" s="3" t="s">
        <v>475</v>
      </c>
      <c r="C161" s="3" t="s">
        <v>133</v>
      </c>
      <c r="D161" s="3" t="s">
        <v>348</v>
      </c>
      <c r="E161" s="5" t="s">
        <v>24</v>
      </c>
      <c r="F161" s="3" t="s">
        <v>441</v>
      </c>
      <c r="G161" s="3" t="s">
        <v>217</v>
      </c>
      <c r="H161" s="3" t="s">
        <v>26</v>
      </c>
      <c r="I161" s="3" t="s">
        <v>27</v>
      </c>
      <c r="J161" s="3">
        <v>25</v>
      </c>
      <c r="K161" s="3">
        <v>75</v>
      </c>
      <c r="L161" s="3" t="s">
        <v>21</v>
      </c>
    </row>
    <row r="162" spans="1:12" x14ac:dyDescent="0.45">
      <c r="A162" s="3" t="s">
        <v>476</v>
      </c>
      <c r="B162" s="3" t="s">
        <v>477</v>
      </c>
      <c r="C162" s="3" t="s">
        <v>133</v>
      </c>
      <c r="D162" s="3" t="s">
        <v>348</v>
      </c>
      <c r="E162" s="7" t="s">
        <v>42</v>
      </c>
      <c r="F162" s="3" t="s">
        <v>441</v>
      </c>
      <c r="G162" s="3" t="s">
        <v>478</v>
      </c>
      <c r="H162" s="3" t="s">
        <v>38</v>
      </c>
      <c r="I162" s="3" t="s">
        <v>27</v>
      </c>
      <c r="J162" s="3">
        <v>15</v>
      </c>
      <c r="K162" s="3">
        <v>125</v>
      </c>
      <c r="L162" s="3" t="s">
        <v>63</v>
      </c>
    </row>
    <row r="163" spans="1:12" x14ac:dyDescent="0.45">
      <c r="A163" s="3" t="s">
        <v>479</v>
      </c>
      <c r="B163" s="3" t="s">
        <v>480</v>
      </c>
      <c r="C163" s="3" t="s">
        <v>133</v>
      </c>
      <c r="D163" s="3" t="s">
        <v>348</v>
      </c>
      <c r="E163" s="6" t="s">
        <v>36</v>
      </c>
      <c r="F163" s="3" t="s">
        <v>441</v>
      </c>
      <c r="G163" s="3" t="s">
        <v>114</v>
      </c>
      <c r="H163" s="3" t="s">
        <v>19</v>
      </c>
      <c r="I163" s="3" t="s">
        <v>55</v>
      </c>
      <c r="J163" s="3">
        <v>8</v>
      </c>
      <c r="K163" s="3">
        <v>50</v>
      </c>
      <c r="L163" s="3" t="s">
        <v>51</v>
      </c>
    </row>
    <row r="164" spans="1:12" x14ac:dyDescent="0.45">
      <c r="A164" s="3" t="s">
        <v>481</v>
      </c>
      <c r="B164" s="3" t="s">
        <v>482</v>
      </c>
      <c r="C164" s="3" t="s">
        <v>133</v>
      </c>
      <c r="D164" s="3" t="s">
        <v>399</v>
      </c>
      <c r="E164" s="6" t="s">
        <v>36</v>
      </c>
      <c r="F164" s="3" t="s">
        <v>371</v>
      </c>
      <c r="G164" s="3" t="s">
        <v>402</v>
      </c>
      <c r="H164" s="3" t="s">
        <v>50</v>
      </c>
      <c r="I164" s="3" t="s">
        <v>20</v>
      </c>
      <c r="J164" s="3">
        <v>12</v>
      </c>
      <c r="K164" s="3">
        <v>145</v>
      </c>
      <c r="L164" s="3" t="s">
        <v>39</v>
      </c>
    </row>
    <row r="165" spans="1:12" x14ac:dyDescent="0.45">
      <c r="A165" s="3" t="s">
        <v>483</v>
      </c>
      <c r="B165" s="3" t="s">
        <v>484</v>
      </c>
      <c r="C165" s="3" t="s">
        <v>133</v>
      </c>
      <c r="D165" s="3" t="s">
        <v>464</v>
      </c>
      <c r="E165" s="7" t="s">
        <v>42</v>
      </c>
      <c r="F165" s="3" t="s">
        <v>371</v>
      </c>
      <c r="G165" s="3" t="s">
        <v>81</v>
      </c>
      <c r="H165" s="3" t="s">
        <v>50</v>
      </c>
      <c r="I165" s="3" t="s">
        <v>27</v>
      </c>
      <c r="J165" s="3">
        <v>28</v>
      </c>
      <c r="K165" s="3">
        <v>375</v>
      </c>
      <c r="L165" s="3" t="s">
        <v>214</v>
      </c>
    </row>
    <row r="166" spans="1:12" x14ac:dyDescent="0.45">
      <c r="A166" s="3" t="s">
        <v>485</v>
      </c>
      <c r="B166" s="3" t="s">
        <v>486</v>
      </c>
      <c r="C166" s="3" t="s">
        <v>133</v>
      </c>
      <c r="D166" s="3" t="s">
        <v>348</v>
      </c>
      <c r="E166" s="7" t="s">
        <v>42</v>
      </c>
      <c r="F166" s="3" t="s">
        <v>441</v>
      </c>
      <c r="G166" s="3" t="s">
        <v>125</v>
      </c>
      <c r="H166" s="3" t="s">
        <v>38</v>
      </c>
      <c r="I166" s="3" t="s">
        <v>27</v>
      </c>
      <c r="J166" s="3">
        <v>27</v>
      </c>
      <c r="K166" s="3">
        <v>299</v>
      </c>
      <c r="L166" s="3" t="s">
        <v>136</v>
      </c>
    </row>
    <row r="167" spans="1:12" x14ac:dyDescent="0.45">
      <c r="A167" s="3" t="s">
        <v>487</v>
      </c>
      <c r="B167" s="3" t="s">
        <v>488</v>
      </c>
      <c r="C167" s="3" t="s">
        <v>133</v>
      </c>
      <c r="D167" s="3" t="s">
        <v>348</v>
      </c>
      <c r="E167" s="5" t="s">
        <v>24</v>
      </c>
      <c r="F167" s="3" t="s">
        <v>441</v>
      </c>
      <c r="G167" s="3" t="s">
        <v>111</v>
      </c>
      <c r="H167" s="3" t="s">
        <v>95</v>
      </c>
      <c r="I167" s="3" t="s">
        <v>20</v>
      </c>
      <c r="J167" s="3">
        <v>23</v>
      </c>
      <c r="K167" s="3">
        <v>265</v>
      </c>
      <c r="L167" s="3" t="s">
        <v>85</v>
      </c>
    </row>
    <row r="168" spans="1:12" x14ac:dyDescent="0.45">
      <c r="A168" s="3" t="s">
        <v>489</v>
      </c>
      <c r="B168" s="3" t="s">
        <v>490</v>
      </c>
      <c r="C168" s="3" t="s">
        <v>133</v>
      </c>
      <c r="D168" s="3" t="s">
        <v>399</v>
      </c>
      <c r="E168" s="7" t="s">
        <v>42</v>
      </c>
      <c r="F168" s="3" t="s">
        <v>371</v>
      </c>
      <c r="G168" s="3" t="s">
        <v>491</v>
      </c>
      <c r="H168" s="3" t="s">
        <v>32</v>
      </c>
      <c r="I168" s="3" t="s">
        <v>27</v>
      </c>
      <c r="J168" s="3">
        <v>18</v>
      </c>
      <c r="K168" s="3">
        <v>165</v>
      </c>
      <c r="L168" s="3" t="s">
        <v>39</v>
      </c>
    </row>
    <row r="169" spans="1:12" x14ac:dyDescent="0.45">
      <c r="A169" s="3" t="s">
        <v>492</v>
      </c>
      <c r="B169" s="3" t="s">
        <v>493</v>
      </c>
      <c r="C169" s="3" t="s">
        <v>133</v>
      </c>
      <c r="D169" s="3" t="s">
        <v>348</v>
      </c>
      <c r="E169" s="5" t="s">
        <v>24</v>
      </c>
      <c r="F169" s="3" t="s">
        <v>441</v>
      </c>
      <c r="G169" s="3" t="s">
        <v>274</v>
      </c>
      <c r="H169" s="3" t="s">
        <v>19</v>
      </c>
      <c r="I169" s="3" t="s">
        <v>27</v>
      </c>
      <c r="J169" s="3">
        <v>15</v>
      </c>
      <c r="K169" s="3">
        <v>850</v>
      </c>
      <c r="L169" s="3" t="s">
        <v>222</v>
      </c>
    </row>
    <row r="170" spans="1:12" x14ac:dyDescent="0.45">
      <c r="A170" s="3" t="s">
        <v>494</v>
      </c>
      <c r="B170" s="3" t="s">
        <v>495</v>
      </c>
      <c r="C170" s="3" t="s">
        <v>133</v>
      </c>
      <c r="D170" s="3" t="s">
        <v>348</v>
      </c>
      <c r="E170" s="4" t="s">
        <v>16</v>
      </c>
      <c r="F170" s="3" t="s">
        <v>441</v>
      </c>
      <c r="G170" s="3" t="s">
        <v>262</v>
      </c>
      <c r="H170" s="3" t="s">
        <v>67</v>
      </c>
      <c r="I170" s="3" t="s">
        <v>27</v>
      </c>
      <c r="J170" s="3">
        <v>20</v>
      </c>
      <c r="K170" s="3">
        <v>565</v>
      </c>
      <c r="L170" s="3" t="s">
        <v>39</v>
      </c>
    </row>
    <row r="171" spans="1:12" x14ac:dyDescent="0.45">
      <c r="A171" s="3" t="s">
        <v>496</v>
      </c>
      <c r="B171" s="3" t="s">
        <v>497</v>
      </c>
      <c r="C171" s="3" t="s">
        <v>133</v>
      </c>
      <c r="D171" s="3" t="s">
        <v>348</v>
      </c>
      <c r="E171" s="7" t="s">
        <v>42</v>
      </c>
      <c r="F171" s="3" t="s">
        <v>441</v>
      </c>
      <c r="G171" s="3" t="s">
        <v>183</v>
      </c>
      <c r="H171" s="3" t="s">
        <v>19</v>
      </c>
      <c r="I171" s="3" t="s">
        <v>27</v>
      </c>
      <c r="J171" s="3">
        <v>18</v>
      </c>
      <c r="K171" s="3">
        <v>525</v>
      </c>
      <c r="L171" s="3" t="s">
        <v>74</v>
      </c>
    </row>
    <row r="172" spans="1:12" x14ac:dyDescent="0.45">
      <c r="A172" s="3" t="s">
        <v>498</v>
      </c>
      <c r="B172" s="3" t="s">
        <v>499</v>
      </c>
      <c r="C172" s="3" t="s">
        <v>220</v>
      </c>
      <c r="D172" s="3" t="s">
        <v>348</v>
      </c>
      <c r="E172" s="4" t="s">
        <v>16</v>
      </c>
      <c r="F172" s="3" t="s">
        <v>441</v>
      </c>
      <c r="G172" s="3" t="s">
        <v>274</v>
      </c>
      <c r="H172" s="3" t="s">
        <v>67</v>
      </c>
      <c r="I172" s="3" t="s">
        <v>20</v>
      </c>
      <c r="J172" s="3">
        <v>16</v>
      </c>
      <c r="K172" s="3">
        <v>499</v>
      </c>
      <c r="L172" s="3" t="s">
        <v>361</v>
      </c>
    </row>
    <row r="173" spans="1:12" x14ac:dyDescent="0.45">
      <c r="A173" s="3" t="s">
        <v>500</v>
      </c>
      <c r="B173" s="3" t="s">
        <v>501</v>
      </c>
      <c r="C173" s="3" t="s">
        <v>220</v>
      </c>
      <c r="D173" s="3" t="s">
        <v>348</v>
      </c>
      <c r="E173" s="6" t="s">
        <v>36</v>
      </c>
      <c r="F173" s="3" t="s">
        <v>441</v>
      </c>
      <c r="G173" s="3" t="s">
        <v>502</v>
      </c>
      <c r="H173" s="3" t="s">
        <v>95</v>
      </c>
      <c r="I173" s="3" t="s">
        <v>55</v>
      </c>
      <c r="J173" s="3">
        <v>4</v>
      </c>
      <c r="K173" s="3">
        <v>699</v>
      </c>
      <c r="L173" s="3" t="s">
        <v>51</v>
      </c>
    </row>
    <row r="174" spans="1:12" x14ac:dyDescent="0.45">
      <c r="A174" s="3" t="s">
        <v>503</v>
      </c>
      <c r="B174" s="3" t="s">
        <v>504</v>
      </c>
      <c r="C174" s="3" t="s">
        <v>220</v>
      </c>
      <c r="D174" s="3" t="s">
        <v>505</v>
      </c>
      <c r="E174" s="6" t="s">
        <v>36</v>
      </c>
      <c r="F174" s="3" t="s">
        <v>371</v>
      </c>
      <c r="G174" s="3" t="s">
        <v>177</v>
      </c>
      <c r="H174" s="3" t="s">
        <v>19</v>
      </c>
      <c r="I174" s="3" t="s">
        <v>55</v>
      </c>
      <c r="J174" s="3">
        <v>4</v>
      </c>
      <c r="K174" s="3">
        <v>385</v>
      </c>
      <c r="L174" s="3" t="s">
        <v>51</v>
      </c>
    </row>
    <row r="175" spans="1:12" x14ac:dyDescent="0.45">
      <c r="A175" s="3" t="s">
        <v>506</v>
      </c>
      <c r="B175" s="3" t="s">
        <v>507</v>
      </c>
      <c r="C175" s="3" t="s">
        <v>220</v>
      </c>
      <c r="D175" s="3" t="s">
        <v>505</v>
      </c>
      <c r="E175" s="6" t="s">
        <v>36</v>
      </c>
      <c r="F175" s="3" t="s">
        <v>371</v>
      </c>
      <c r="G175" s="3" t="s">
        <v>508</v>
      </c>
      <c r="H175" s="3" t="s">
        <v>62</v>
      </c>
      <c r="I175" s="3" t="s">
        <v>55</v>
      </c>
      <c r="J175" s="3">
        <v>7</v>
      </c>
      <c r="K175" s="3">
        <v>799</v>
      </c>
      <c r="L175" s="3" t="s">
        <v>51</v>
      </c>
    </row>
    <row r="176" spans="1:12" x14ac:dyDescent="0.45">
      <c r="A176" s="3" t="s">
        <v>509</v>
      </c>
      <c r="B176" s="3" t="s">
        <v>510</v>
      </c>
      <c r="C176" s="3" t="s">
        <v>220</v>
      </c>
      <c r="D176" s="3" t="s">
        <v>511</v>
      </c>
      <c r="E176" s="4" t="s">
        <v>16</v>
      </c>
      <c r="F176" s="3" t="s">
        <v>371</v>
      </c>
      <c r="G176" s="3" t="s">
        <v>512</v>
      </c>
      <c r="H176" s="3" t="s">
        <v>95</v>
      </c>
      <c r="I176" s="3" t="s">
        <v>20</v>
      </c>
      <c r="J176" s="3">
        <v>16</v>
      </c>
      <c r="K176" s="3">
        <v>299</v>
      </c>
      <c r="L176" s="3" t="s">
        <v>21</v>
      </c>
    </row>
    <row r="177" spans="1:12" x14ac:dyDescent="0.45">
      <c r="A177" s="3" t="s">
        <v>513</v>
      </c>
      <c r="B177" s="3" t="s">
        <v>514</v>
      </c>
      <c r="C177" s="3" t="s">
        <v>220</v>
      </c>
      <c r="D177" s="3" t="s">
        <v>511</v>
      </c>
      <c r="E177" s="5" t="s">
        <v>24</v>
      </c>
      <c r="F177" s="3" t="s">
        <v>371</v>
      </c>
      <c r="G177" s="3" t="s">
        <v>515</v>
      </c>
      <c r="H177" s="3" t="s">
        <v>50</v>
      </c>
      <c r="I177" s="3" t="s">
        <v>27</v>
      </c>
      <c r="J177" s="3">
        <v>15</v>
      </c>
      <c r="K177" s="3">
        <v>165</v>
      </c>
      <c r="L177" s="3" t="s">
        <v>74</v>
      </c>
    </row>
    <row r="178" spans="1:12" x14ac:dyDescent="0.45">
      <c r="A178" s="3" t="s">
        <v>516</v>
      </c>
      <c r="B178" s="3" t="s">
        <v>517</v>
      </c>
      <c r="C178" s="3" t="s">
        <v>220</v>
      </c>
      <c r="D178" s="3" t="s">
        <v>399</v>
      </c>
      <c r="E178" s="4" t="s">
        <v>16</v>
      </c>
      <c r="F178" s="3" t="s">
        <v>371</v>
      </c>
      <c r="G178" s="3" t="s">
        <v>159</v>
      </c>
      <c r="H178" s="3" t="s">
        <v>95</v>
      </c>
      <c r="I178" s="3" t="s">
        <v>27</v>
      </c>
      <c r="J178" s="3">
        <v>15</v>
      </c>
      <c r="K178" s="3">
        <v>995</v>
      </c>
      <c r="L178" s="3" t="s">
        <v>51</v>
      </c>
    </row>
    <row r="179" spans="1:12" x14ac:dyDescent="0.45">
      <c r="A179" s="3" t="s">
        <v>518</v>
      </c>
      <c r="B179" s="3" t="s">
        <v>519</v>
      </c>
      <c r="C179" s="3" t="s">
        <v>220</v>
      </c>
      <c r="D179" s="3" t="s">
        <v>399</v>
      </c>
      <c r="E179" s="4" t="s">
        <v>16</v>
      </c>
      <c r="F179" s="3" t="s">
        <v>371</v>
      </c>
      <c r="G179" s="3" t="s">
        <v>520</v>
      </c>
      <c r="H179" s="3" t="s">
        <v>38</v>
      </c>
      <c r="I179" s="3" t="s">
        <v>27</v>
      </c>
      <c r="J179" s="3">
        <v>30</v>
      </c>
      <c r="K179" s="3">
        <v>1095</v>
      </c>
      <c r="L179" s="3" t="s">
        <v>39</v>
      </c>
    </row>
    <row r="180" spans="1:12" x14ac:dyDescent="0.45">
      <c r="A180" s="3" t="s">
        <v>521</v>
      </c>
      <c r="B180" s="3" t="s">
        <v>522</v>
      </c>
      <c r="C180" s="3" t="s">
        <v>220</v>
      </c>
      <c r="D180" s="3" t="s">
        <v>505</v>
      </c>
      <c r="E180" s="6" t="s">
        <v>36</v>
      </c>
      <c r="F180" s="3" t="s">
        <v>371</v>
      </c>
      <c r="G180" s="3" t="s">
        <v>523</v>
      </c>
      <c r="H180" s="3" t="s">
        <v>32</v>
      </c>
      <c r="I180" s="3" t="s">
        <v>55</v>
      </c>
      <c r="J180" s="3">
        <v>7</v>
      </c>
      <c r="K180" s="3">
        <v>399</v>
      </c>
      <c r="L180" s="3" t="s">
        <v>51</v>
      </c>
    </row>
    <row r="181" spans="1:12" x14ac:dyDescent="0.45">
      <c r="A181" s="3" t="s">
        <v>524</v>
      </c>
      <c r="B181" s="3" t="s">
        <v>525</v>
      </c>
      <c r="C181" s="3" t="s">
        <v>220</v>
      </c>
      <c r="D181" s="3" t="s">
        <v>505</v>
      </c>
      <c r="E181" s="4" t="s">
        <v>16</v>
      </c>
      <c r="F181" s="3" t="s">
        <v>371</v>
      </c>
      <c r="G181" s="3" t="s">
        <v>357</v>
      </c>
      <c r="H181" s="3" t="s">
        <v>32</v>
      </c>
      <c r="I181" s="3" t="s">
        <v>20</v>
      </c>
      <c r="J181" s="3">
        <v>29</v>
      </c>
      <c r="K181" s="3">
        <v>175</v>
      </c>
      <c r="L181" s="3" t="s">
        <v>105</v>
      </c>
    </row>
    <row r="182" spans="1:12" x14ac:dyDescent="0.45">
      <c r="A182" s="3" t="s">
        <v>526</v>
      </c>
      <c r="B182" s="3" t="s">
        <v>527</v>
      </c>
      <c r="C182" s="3" t="s">
        <v>220</v>
      </c>
      <c r="D182" s="3" t="s">
        <v>348</v>
      </c>
      <c r="E182" s="6" t="s">
        <v>36</v>
      </c>
      <c r="F182" s="3" t="s">
        <v>441</v>
      </c>
      <c r="G182" s="3" t="s">
        <v>159</v>
      </c>
      <c r="H182" s="3" t="s">
        <v>38</v>
      </c>
      <c r="I182" s="3" t="s">
        <v>55</v>
      </c>
      <c r="J182" s="3">
        <v>10</v>
      </c>
      <c r="K182" s="3">
        <v>399</v>
      </c>
      <c r="L182" s="3" t="s">
        <v>51</v>
      </c>
    </row>
    <row r="183" spans="1:12" x14ac:dyDescent="0.45">
      <c r="A183" s="3" t="s">
        <v>528</v>
      </c>
      <c r="B183" s="3" t="s">
        <v>529</v>
      </c>
      <c r="C183" s="3" t="s">
        <v>220</v>
      </c>
      <c r="D183" s="3" t="s">
        <v>348</v>
      </c>
      <c r="E183" s="7" t="s">
        <v>42</v>
      </c>
      <c r="F183" s="3" t="s">
        <v>441</v>
      </c>
      <c r="G183" s="3" t="s">
        <v>530</v>
      </c>
      <c r="H183" s="3" t="s">
        <v>95</v>
      </c>
      <c r="I183" s="3" t="s">
        <v>27</v>
      </c>
      <c r="J183" s="3">
        <v>16</v>
      </c>
      <c r="K183" s="3">
        <v>699</v>
      </c>
      <c r="L183" s="3" t="s">
        <v>74</v>
      </c>
    </row>
    <row r="184" spans="1:12" x14ac:dyDescent="0.45">
      <c r="A184" s="3" t="s">
        <v>531</v>
      </c>
      <c r="B184" s="3" t="s">
        <v>532</v>
      </c>
      <c r="C184" s="3" t="s">
        <v>220</v>
      </c>
      <c r="D184" s="3" t="s">
        <v>399</v>
      </c>
      <c r="E184" s="4" t="s">
        <v>16</v>
      </c>
      <c r="F184" s="3" t="s">
        <v>371</v>
      </c>
      <c r="G184" s="3" t="s">
        <v>274</v>
      </c>
      <c r="H184" s="3" t="s">
        <v>19</v>
      </c>
      <c r="I184" s="3" t="s">
        <v>20</v>
      </c>
      <c r="J184" s="3">
        <v>20</v>
      </c>
      <c r="K184" s="3">
        <v>195</v>
      </c>
      <c r="L184" s="3" t="s">
        <v>145</v>
      </c>
    </row>
    <row r="185" spans="1:12" x14ac:dyDescent="0.45">
      <c r="A185" s="3" t="s">
        <v>533</v>
      </c>
      <c r="B185" s="3" t="s">
        <v>534</v>
      </c>
      <c r="C185" s="3" t="s">
        <v>220</v>
      </c>
      <c r="D185" s="3" t="s">
        <v>399</v>
      </c>
      <c r="E185" s="7" t="s">
        <v>42</v>
      </c>
      <c r="F185" s="3" t="s">
        <v>371</v>
      </c>
      <c r="G185" s="3" t="s">
        <v>350</v>
      </c>
      <c r="H185" s="3" t="s">
        <v>19</v>
      </c>
      <c r="I185" s="3" t="s">
        <v>27</v>
      </c>
      <c r="J185" s="3">
        <v>18</v>
      </c>
      <c r="K185" s="3">
        <v>399</v>
      </c>
      <c r="L185" s="3" t="s">
        <v>222</v>
      </c>
    </row>
    <row r="186" spans="1:12" x14ac:dyDescent="0.45">
      <c r="A186" s="3" t="s">
        <v>535</v>
      </c>
      <c r="B186" s="3" t="s">
        <v>536</v>
      </c>
      <c r="C186" s="3" t="s">
        <v>220</v>
      </c>
      <c r="D186" s="3" t="s">
        <v>348</v>
      </c>
      <c r="E186" s="4" t="s">
        <v>16</v>
      </c>
      <c r="F186" s="3" t="s">
        <v>441</v>
      </c>
      <c r="G186" s="3" t="s">
        <v>537</v>
      </c>
      <c r="H186" s="3" t="s">
        <v>38</v>
      </c>
      <c r="I186" s="3" t="s">
        <v>20</v>
      </c>
      <c r="J186" s="3">
        <v>26</v>
      </c>
      <c r="K186" s="3">
        <v>375</v>
      </c>
      <c r="L186" s="3" t="s">
        <v>28</v>
      </c>
    </row>
    <row r="187" spans="1:12" x14ac:dyDescent="0.45">
      <c r="A187" s="3" t="s">
        <v>538</v>
      </c>
      <c r="B187" s="3" t="s">
        <v>539</v>
      </c>
      <c r="C187" s="3" t="s">
        <v>220</v>
      </c>
      <c r="D187" s="3" t="s">
        <v>348</v>
      </c>
      <c r="E187" s="6" t="s">
        <v>36</v>
      </c>
      <c r="F187" s="3" t="s">
        <v>441</v>
      </c>
      <c r="G187" s="3" t="s">
        <v>540</v>
      </c>
      <c r="H187" s="3" t="s">
        <v>38</v>
      </c>
      <c r="I187" s="3" t="s">
        <v>55</v>
      </c>
      <c r="J187" s="3">
        <v>5</v>
      </c>
      <c r="K187" s="3">
        <v>595</v>
      </c>
      <c r="L187" s="3" t="s">
        <v>51</v>
      </c>
    </row>
    <row r="188" spans="1:12" x14ac:dyDescent="0.45">
      <c r="A188" s="3" t="s">
        <v>541</v>
      </c>
      <c r="B188" s="3" t="s">
        <v>542</v>
      </c>
      <c r="C188" s="3" t="s">
        <v>220</v>
      </c>
      <c r="D188" s="3" t="s">
        <v>348</v>
      </c>
      <c r="E188" s="4" t="s">
        <v>16</v>
      </c>
      <c r="F188" s="3" t="s">
        <v>441</v>
      </c>
      <c r="G188" s="3" t="s">
        <v>156</v>
      </c>
      <c r="H188" s="3" t="s">
        <v>95</v>
      </c>
      <c r="I188" s="3" t="s">
        <v>20</v>
      </c>
      <c r="J188" s="3">
        <v>17</v>
      </c>
      <c r="K188" s="3">
        <v>349</v>
      </c>
      <c r="L188" s="3" t="s">
        <v>21</v>
      </c>
    </row>
    <row r="189" spans="1:12" x14ac:dyDescent="0.45">
      <c r="A189" s="3" t="s">
        <v>543</v>
      </c>
      <c r="B189" s="3" t="s">
        <v>544</v>
      </c>
      <c r="C189" s="3" t="s">
        <v>220</v>
      </c>
      <c r="D189" s="3" t="s">
        <v>399</v>
      </c>
      <c r="E189" s="6" t="s">
        <v>36</v>
      </c>
      <c r="F189" s="3" t="s">
        <v>371</v>
      </c>
      <c r="G189" s="3" t="s">
        <v>114</v>
      </c>
      <c r="H189" s="3" t="s">
        <v>67</v>
      </c>
      <c r="I189" s="3" t="s">
        <v>20</v>
      </c>
      <c r="J189" s="3">
        <v>8</v>
      </c>
      <c r="K189" s="3">
        <v>199</v>
      </c>
      <c r="L189" s="3" t="s">
        <v>51</v>
      </c>
    </row>
    <row r="190" spans="1:12" x14ac:dyDescent="0.45">
      <c r="A190" s="3" t="s">
        <v>545</v>
      </c>
      <c r="B190" s="3" t="s">
        <v>546</v>
      </c>
      <c r="C190" s="3" t="s">
        <v>220</v>
      </c>
      <c r="D190" s="3" t="s">
        <v>348</v>
      </c>
      <c r="E190" s="5" t="s">
        <v>24</v>
      </c>
      <c r="F190" s="3" t="s">
        <v>441</v>
      </c>
      <c r="G190" s="3" t="s">
        <v>547</v>
      </c>
      <c r="H190" s="3" t="s">
        <v>67</v>
      </c>
      <c r="I190" s="3" t="s">
        <v>27</v>
      </c>
      <c r="J190" s="3">
        <v>2</v>
      </c>
      <c r="K190" s="3">
        <v>325</v>
      </c>
      <c r="L190" s="3" t="s">
        <v>78</v>
      </c>
    </row>
    <row r="191" spans="1:12" x14ac:dyDescent="0.45">
      <c r="A191" s="3" t="s">
        <v>548</v>
      </c>
      <c r="B191" s="3" t="s">
        <v>549</v>
      </c>
      <c r="C191" s="3" t="s">
        <v>220</v>
      </c>
      <c r="D191" s="3" t="s">
        <v>348</v>
      </c>
      <c r="E191" s="6" t="s">
        <v>36</v>
      </c>
      <c r="F191" s="3" t="s">
        <v>441</v>
      </c>
      <c r="G191" s="3" t="s">
        <v>550</v>
      </c>
      <c r="H191" s="3" t="s">
        <v>95</v>
      </c>
      <c r="I191" s="3" t="s">
        <v>55</v>
      </c>
      <c r="J191" s="3">
        <v>10</v>
      </c>
      <c r="K191" s="3">
        <v>1299</v>
      </c>
      <c r="L191" s="3" t="s">
        <v>39</v>
      </c>
    </row>
    <row r="192" spans="1:12" x14ac:dyDescent="0.45">
      <c r="A192" s="3" t="s">
        <v>551</v>
      </c>
      <c r="B192" s="3" t="s">
        <v>552</v>
      </c>
      <c r="C192" s="3" t="s">
        <v>284</v>
      </c>
      <c r="D192" s="3" t="s">
        <v>553</v>
      </c>
      <c r="E192" s="7" t="s">
        <v>42</v>
      </c>
      <c r="F192" s="3" t="s">
        <v>371</v>
      </c>
      <c r="G192" s="3" t="s">
        <v>325</v>
      </c>
      <c r="H192" s="3" t="s">
        <v>19</v>
      </c>
      <c r="I192" s="3" t="s">
        <v>27</v>
      </c>
      <c r="J192" s="3">
        <v>30</v>
      </c>
      <c r="K192" s="3">
        <v>4999</v>
      </c>
      <c r="L192" s="3" t="s">
        <v>39</v>
      </c>
    </row>
    <row r="193" spans="1:12" x14ac:dyDescent="0.45">
      <c r="A193" s="3" t="s">
        <v>554</v>
      </c>
      <c r="B193" s="3" t="s">
        <v>555</v>
      </c>
      <c r="C193" s="3" t="s">
        <v>284</v>
      </c>
      <c r="D193" s="3" t="s">
        <v>553</v>
      </c>
      <c r="E193" s="4" t="s">
        <v>16</v>
      </c>
      <c r="F193" s="3" t="s">
        <v>371</v>
      </c>
      <c r="G193" s="3" t="s">
        <v>153</v>
      </c>
      <c r="H193" s="3" t="s">
        <v>26</v>
      </c>
      <c r="I193" s="3" t="s">
        <v>27</v>
      </c>
      <c r="J193" s="3">
        <v>19</v>
      </c>
      <c r="K193" s="3">
        <v>16999</v>
      </c>
      <c r="L193" s="3" t="s">
        <v>136</v>
      </c>
    </row>
    <row r="194" spans="1:12" x14ac:dyDescent="0.45">
      <c r="A194" s="3" t="s">
        <v>556</v>
      </c>
      <c r="B194" s="3" t="s">
        <v>557</v>
      </c>
      <c r="C194" s="3" t="s">
        <v>284</v>
      </c>
      <c r="D194" s="3" t="s">
        <v>553</v>
      </c>
      <c r="E194" s="6" t="s">
        <v>36</v>
      </c>
      <c r="F194" s="3" t="s">
        <v>371</v>
      </c>
      <c r="G194" s="3" t="s">
        <v>558</v>
      </c>
      <c r="H194" s="3" t="s">
        <v>38</v>
      </c>
      <c r="I194" s="3" t="s">
        <v>20</v>
      </c>
      <c r="J194" s="3">
        <v>5</v>
      </c>
      <c r="K194" s="3">
        <v>2499</v>
      </c>
      <c r="L194" s="3" t="s">
        <v>51</v>
      </c>
    </row>
    <row r="195" spans="1:12" x14ac:dyDescent="0.45">
      <c r="A195" s="3" t="s">
        <v>559</v>
      </c>
      <c r="B195" s="3" t="s">
        <v>560</v>
      </c>
      <c r="C195" s="3" t="s">
        <v>284</v>
      </c>
      <c r="D195" s="3" t="s">
        <v>348</v>
      </c>
      <c r="E195" s="4" t="s">
        <v>16</v>
      </c>
      <c r="F195" s="3" t="s">
        <v>561</v>
      </c>
      <c r="G195" s="3" t="s">
        <v>31</v>
      </c>
      <c r="H195" s="3" t="s">
        <v>67</v>
      </c>
      <c r="I195" s="3" t="s">
        <v>20</v>
      </c>
      <c r="J195" s="3">
        <v>14</v>
      </c>
      <c r="K195" s="3">
        <v>1499</v>
      </c>
      <c r="L195" s="3" t="s">
        <v>361</v>
      </c>
    </row>
    <row r="196" spans="1:12" x14ac:dyDescent="0.45">
      <c r="A196" s="3" t="s">
        <v>562</v>
      </c>
      <c r="B196" s="3" t="s">
        <v>563</v>
      </c>
      <c r="C196" s="3" t="s">
        <v>284</v>
      </c>
      <c r="D196" s="3" t="s">
        <v>348</v>
      </c>
      <c r="E196" s="7" t="s">
        <v>42</v>
      </c>
      <c r="F196" s="3" t="s">
        <v>561</v>
      </c>
      <c r="G196" s="3" t="s">
        <v>394</v>
      </c>
      <c r="H196" s="3" t="s">
        <v>67</v>
      </c>
      <c r="I196" s="3" t="s">
        <v>27</v>
      </c>
      <c r="J196" s="3">
        <v>15</v>
      </c>
      <c r="K196" s="3">
        <v>899</v>
      </c>
      <c r="L196" s="3" t="s">
        <v>136</v>
      </c>
    </row>
    <row r="197" spans="1:12" x14ac:dyDescent="0.45">
      <c r="A197" s="3" t="s">
        <v>564</v>
      </c>
      <c r="B197" s="3" t="s">
        <v>565</v>
      </c>
      <c r="C197" s="3" t="s">
        <v>284</v>
      </c>
      <c r="D197" s="3" t="s">
        <v>348</v>
      </c>
      <c r="E197" s="4" t="s">
        <v>16</v>
      </c>
      <c r="F197" s="3" t="s">
        <v>561</v>
      </c>
      <c r="G197" s="3" t="s">
        <v>88</v>
      </c>
      <c r="H197" s="3" t="s">
        <v>38</v>
      </c>
      <c r="I197" s="3" t="s">
        <v>20</v>
      </c>
      <c r="J197" s="3">
        <v>14</v>
      </c>
      <c r="K197" s="3">
        <v>12999</v>
      </c>
      <c r="L197" s="3" t="s">
        <v>85</v>
      </c>
    </row>
    <row r="198" spans="1:12" x14ac:dyDescent="0.45">
      <c r="A198" s="3" t="s">
        <v>566</v>
      </c>
      <c r="B198" s="3" t="s">
        <v>567</v>
      </c>
      <c r="C198" s="3" t="s">
        <v>284</v>
      </c>
      <c r="D198" s="3" t="s">
        <v>348</v>
      </c>
      <c r="E198" s="4" t="s">
        <v>16</v>
      </c>
      <c r="F198" s="3" t="s">
        <v>561</v>
      </c>
      <c r="G198" s="3" t="s">
        <v>502</v>
      </c>
      <c r="H198" s="3" t="s">
        <v>19</v>
      </c>
      <c r="I198" s="3" t="s">
        <v>20</v>
      </c>
      <c r="J198" s="3">
        <v>20</v>
      </c>
      <c r="K198" s="3">
        <v>1299</v>
      </c>
      <c r="L198" s="3" t="s">
        <v>166</v>
      </c>
    </row>
    <row r="199" spans="1:12" x14ac:dyDescent="0.45">
      <c r="A199" s="3" t="s">
        <v>568</v>
      </c>
      <c r="B199" s="3" t="s">
        <v>569</v>
      </c>
      <c r="C199" s="3" t="s">
        <v>284</v>
      </c>
      <c r="D199" s="3" t="s">
        <v>348</v>
      </c>
      <c r="E199" s="4" t="s">
        <v>16</v>
      </c>
      <c r="F199" s="3" t="s">
        <v>561</v>
      </c>
      <c r="G199" s="3" t="s">
        <v>259</v>
      </c>
      <c r="H199" s="3" t="s">
        <v>32</v>
      </c>
      <c r="I199" s="3" t="s">
        <v>27</v>
      </c>
      <c r="J199" s="3">
        <v>20</v>
      </c>
      <c r="K199" s="3">
        <v>3499</v>
      </c>
      <c r="L199" s="3" t="s">
        <v>166</v>
      </c>
    </row>
    <row r="200" spans="1:12" x14ac:dyDescent="0.45">
      <c r="A200" s="3" t="s">
        <v>570</v>
      </c>
      <c r="B200" s="3" t="s">
        <v>571</v>
      </c>
      <c r="C200" s="3" t="s">
        <v>284</v>
      </c>
      <c r="D200" s="3" t="s">
        <v>348</v>
      </c>
      <c r="E200" s="6" t="s">
        <v>36</v>
      </c>
      <c r="F200" s="3" t="s">
        <v>561</v>
      </c>
      <c r="G200" s="3" t="s">
        <v>230</v>
      </c>
      <c r="H200" s="3" t="s">
        <v>26</v>
      </c>
      <c r="I200" s="3" t="s">
        <v>20</v>
      </c>
      <c r="J200" s="3">
        <v>9</v>
      </c>
      <c r="K200" s="3">
        <v>2799</v>
      </c>
      <c r="L200" s="3" t="s">
        <v>51</v>
      </c>
    </row>
    <row r="201" spans="1:12" x14ac:dyDescent="0.45">
      <c r="A201" s="3" t="s">
        <v>572</v>
      </c>
      <c r="B201" s="3" t="s">
        <v>573</v>
      </c>
      <c r="C201" s="3" t="s">
        <v>284</v>
      </c>
      <c r="D201" s="3" t="s">
        <v>348</v>
      </c>
      <c r="E201" s="7" t="s">
        <v>42</v>
      </c>
      <c r="F201" s="3" t="s">
        <v>561</v>
      </c>
      <c r="G201" s="3" t="s">
        <v>574</v>
      </c>
      <c r="H201" s="3" t="s">
        <v>19</v>
      </c>
      <c r="I201" s="3" t="s">
        <v>27</v>
      </c>
      <c r="J201" s="3">
        <v>14</v>
      </c>
      <c r="K201" s="3">
        <v>1999</v>
      </c>
      <c r="L201" s="3" t="s">
        <v>39</v>
      </c>
    </row>
    <row r="202" spans="1:12" x14ac:dyDescent="0.45">
      <c r="A202" s="3" t="s">
        <v>575</v>
      </c>
      <c r="B202" s="3" t="s">
        <v>576</v>
      </c>
      <c r="C202" s="3" t="s">
        <v>284</v>
      </c>
      <c r="D202" s="3" t="s">
        <v>348</v>
      </c>
      <c r="E202" s="5" t="s">
        <v>24</v>
      </c>
      <c r="F202" s="3" t="s">
        <v>561</v>
      </c>
      <c r="G202" s="3" t="s">
        <v>465</v>
      </c>
      <c r="H202" s="3" t="s">
        <v>67</v>
      </c>
      <c r="I202" s="3" t="s">
        <v>20</v>
      </c>
      <c r="J202" s="3">
        <v>10</v>
      </c>
      <c r="K202" s="3">
        <v>899</v>
      </c>
      <c r="L202" s="3" t="s">
        <v>78</v>
      </c>
    </row>
    <row r="203" spans="1:12" x14ac:dyDescent="0.45">
      <c r="A203" s="3" t="s">
        <v>577</v>
      </c>
      <c r="B203" s="3" t="s">
        <v>578</v>
      </c>
      <c r="C203" s="3" t="s">
        <v>284</v>
      </c>
      <c r="D203" s="3" t="s">
        <v>348</v>
      </c>
      <c r="E203" s="5" t="s">
        <v>24</v>
      </c>
      <c r="F203" s="3" t="s">
        <v>561</v>
      </c>
      <c r="G203" s="3" t="s">
        <v>335</v>
      </c>
      <c r="H203" s="3" t="s">
        <v>32</v>
      </c>
      <c r="I203" s="3" t="s">
        <v>27</v>
      </c>
      <c r="J203" s="3">
        <v>20</v>
      </c>
      <c r="K203" s="3">
        <v>1599</v>
      </c>
      <c r="L203" s="3" t="s">
        <v>28</v>
      </c>
    </row>
    <row r="204" spans="1:12" x14ac:dyDescent="0.45">
      <c r="A204" s="3" t="s">
        <v>579</v>
      </c>
      <c r="B204" s="3" t="s">
        <v>580</v>
      </c>
      <c r="C204" s="3" t="s">
        <v>284</v>
      </c>
      <c r="D204" s="3" t="s">
        <v>348</v>
      </c>
      <c r="E204" s="4" t="s">
        <v>16</v>
      </c>
      <c r="F204" s="3" t="s">
        <v>561</v>
      </c>
      <c r="G204" s="3" t="s">
        <v>66</v>
      </c>
      <c r="H204" s="3" t="s">
        <v>50</v>
      </c>
      <c r="I204" s="3" t="s">
        <v>20</v>
      </c>
      <c r="J204" s="3">
        <v>30</v>
      </c>
      <c r="K204" s="3">
        <v>249</v>
      </c>
      <c r="L204" s="3" t="s">
        <v>214</v>
      </c>
    </row>
    <row r="205" spans="1:12" x14ac:dyDescent="0.45">
      <c r="A205" s="3" t="s">
        <v>581</v>
      </c>
      <c r="B205" s="3" t="s">
        <v>582</v>
      </c>
      <c r="C205" s="3" t="s">
        <v>284</v>
      </c>
      <c r="D205" s="3" t="s">
        <v>583</v>
      </c>
      <c r="E205" s="4" t="s">
        <v>16</v>
      </c>
      <c r="F205" s="3" t="s">
        <v>371</v>
      </c>
      <c r="G205" s="3" t="s">
        <v>295</v>
      </c>
      <c r="H205" s="3" t="s">
        <v>50</v>
      </c>
      <c r="I205" s="3" t="s">
        <v>27</v>
      </c>
      <c r="J205" s="3">
        <v>20</v>
      </c>
      <c r="K205" s="3">
        <v>799</v>
      </c>
      <c r="L205" s="3" t="s">
        <v>166</v>
      </c>
    </row>
    <row r="206" spans="1:12" x14ac:dyDescent="0.45">
      <c r="A206" s="3" t="s">
        <v>584</v>
      </c>
      <c r="B206" s="3" t="s">
        <v>585</v>
      </c>
      <c r="C206" s="3" t="s">
        <v>284</v>
      </c>
      <c r="D206" s="3" t="s">
        <v>348</v>
      </c>
      <c r="E206" s="4" t="s">
        <v>16</v>
      </c>
      <c r="F206" s="3" t="s">
        <v>561</v>
      </c>
      <c r="G206" s="3" t="s">
        <v>262</v>
      </c>
      <c r="H206" s="3" t="s">
        <v>38</v>
      </c>
      <c r="I206" s="3" t="s">
        <v>27</v>
      </c>
      <c r="J206" s="3">
        <v>29</v>
      </c>
      <c r="K206" s="3">
        <v>2499</v>
      </c>
      <c r="L206" s="3" t="s">
        <v>163</v>
      </c>
    </row>
    <row r="207" spans="1:12" x14ac:dyDescent="0.45">
      <c r="A207" s="3" t="s">
        <v>586</v>
      </c>
      <c r="B207" s="3" t="s">
        <v>587</v>
      </c>
      <c r="C207" s="3" t="s">
        <v>310</v>
      </c>
      <c r="D207" s="3" t="s">
        <v>588</v>
      </c>
      <c r="E207" s="6" t="s">
        <v>36</v>
      </c>
      <c r="F207" s="3" t="s">
        <v>371</v>
      </c>
      <c r="G207" s="3" t="s">
        <v>465</v>
      </c>
      <c r="H207" s="3" t="s">
        <v>95</v>
      </c>
      <c r="I207" s="3" t="s">
        <v>55</v>
      </c>
      <c r="J207" s="3">
        <v>8</v>
      </c>
      <c r="K207" s="3">
        <v>8995</v>
      </c>
      <c r="L207" s="3" t="s">
        <v>51</v>
      </c>
    </row>
    <row r="208" spans="1:12" x14ac:dyDescent="0.45">
      <c r="A208" s="3" t="s">
        <v>589</v>
      </c>
      <c r="B208" s="3" t="s">
        <v>590</v>
      </c>
      <c r="C208" s="3" t="s">
        <v>310</v>
      </c>
      <c r="D208" s="3" t="s">
        <v>588</v>
      </c>
      <c r="E208" s="7" t="s">
        <v>42</v>
      </c>
      <c r="F208" s="3" t="s">
        <v>371</v>
      </c>
      <c r="G208" s="3" t="s">
        <v>108</v>
      </c>
      <c r="H208" s="3" t="s">
        <v>67</v>
      </c>
      <c r="I208" s="3" t="s">
        <v>27</v>
      </c>
      <c r="J208" s="3">
        <v>10</v>
      </c>
      <c r="K208" s="3">
        <v>1895</v>
      </c>
      <c r="L208" s="3" t="s">
        <v>145</v>
      </c>
    </row>
    <row r="209" spans="1:12" x14ac:dyDescent="0.45">
      <c r="A209" s="3" t="s">
        <v>591</v>
      </c>
      <c r="B209" s="3" t="s">
        <v>592</v>
      </c>
      <c r="C209" s="3" t="s">
        <v>310</v>
      </c>
      <c r="D209" s="3" t="s">
        <v>505</v>
      </c>
      <c r="E209" s="7" t="s">
        <v>42</v>
      </c>
      <c r="F209" s="3" t="s">
        <v>371</v>
      </c>
      <c r="G209" s="3" t="s">
        <v>111</v>
      </c>
      <c r="H209" s="3" t="s">
        <v>62</v>
      </c>
      <c r="I209" s="3" t="s">
        <v>27</v>
      </c>
      <c r="J209" s="3">
        <v>24</v>
      </c>
      <c r="K209" s="3">
        <v>1799</v>
      </c>
      <c r="L209" s="3" t="s">
        <v>63</v>
      </c>
    </row>
    <row r="210" spans="1:12" x14ac:dyDescent="0.45">
      <c r="A210" s="3" t="s">
        <v>593</v>
      </c>
      <c r="B210" s="3" t="s">
        <v>594</v>
      </c>
      <c r="C210" s="3" t="s">
        <v>310</v>
      </c>
      <c r="D210" s="3" t="s">
        <v>505</v>
      </c>
      <c r="E210" s="4" t="s">
        <v>16</v>
      </c>
      <c r="F210" s="3" t="s">
        <v>371</v>
      </c>
      <c r="G210" s="3" t="s">
        <v>402</v>
      </c>
      <c r="H210" s="3" t="s">
        <v>95</v>
      </c>
      <c r="I210" s="3" t="s">
        <v>20</v>
      </c>
      <c r="J210" s="3">
        <v>24</v>
      </c>
      <c r="K210" s="3">
        <v>6999</v>
      </c>
      <c r="L210" s="3" t="s">
        <v>51</v>
      </c>
    </row>
    <row r="211" spans="1:12" x14ac:dyDescent="0.45">
      <c r="A211" s="3" t="s">
        <v>595</v>
      </c>
      <c r="B211" s="3" t="s">
        <v>596</v>
      </c>
      <c r="C211" s="3" t="s">
        <v>310</v>
      </c>
      <c r="D211" s="3" t="s">
        <v>348</v>
      </c>
      <c r="E211" s="4" t="s">
        <v>16</v>
      </c>
      <c r="F211" s="3" t="s">
        <v>441</v>
      </c>
      <c r="G211" s="3" t="s">
        <v>156</v>
      </c>
      <c r="H211" s="3" t="s">
        <v>38</v>
      </c>
      <c r="I211" s="3" t="s">
        <v>27</v>
      </c>
      <c r="J211" s="3">
        <v>15</v>
      </c>
      <c r="K211" s="3">
        <v>1499</v>
      </c>
      <c r="L211" s="3" t="s">
        <v>126</v>
      </c>
    </row>
    <row r="212" spans="1:12" x14ac:dyDescent="0.45">
      <c r="A212" s="3" t="s">
        <v>597</v>
      </c>
      <c r="B212" s="3" t="s">
        <v>598</v>
      </c>
      <c r="C212" s="3" t="s">
        <v>310</v>
      </c>
      <c r="D212" s="3" t="s">
        <v>348</v>
      </c>
      <c r="E212" s="6" t="s">
        <v>36</v>
      </c>
      <c r="F212" s="3" t="s">
        <v>441</v>
      </c>
      <c r="G212" s="3" t="s">
        <v>205</v>
      </c>
      <c r="H212" s="3" t="s">
        <v>50</v>
      </c>
      <c r="I212" s="3" t="s">
        <v>55</v>
      </c>
      <c r="J212" s="3">
        <v>9</v>
      </c>
      <c r="K212" s="3">
        <v>2199</v>
      </c>
      <c r="L212" s="3" t="s">
        <v>39</v>
      </c>
    </row>
    <row r="213" spans="1:12" x14ac:dyDescent="0.45">
      <c r="A213" s="3" t="s">
        <v>599</v>
      </c>
      <c r="B213" s="3" t="s">
        <v>600</v>
      </c>
      <c r="C213" s="3" t="s">
        <v>310</v>
      </c>
      <c r="D213" s="3" t="s">
        <v>348</v>
      </c>
      <c r="E213" s="6" t="s">
        <v>36</v>
      </c>
      <c r="F213" s="3" t="s">
        <v>441</v>
      </c>
      <c r="G213" s="3" t="s">
        <v>453</v>
      </c>
      <c r="H213" s="3" t="s">
        <v>50</v>
      </c>
      <c r="I213" s="3" t="s">
        <v>55</v>
      </c>
      <c r="J213" s="3">
        <v>4</v>
      </c>
      <c r="K213" s="3">
        <v>1899</v>
      </c>
      <c r="L213" s="3" t="s">
        <v>39</v>
      </c>
    </row>
    <row r="214" spans="1:12" x14ac:dyDescent="0.45">
      <c r="A214" s="3" t="s">
        <v>601</v>
      </c>
      <c r="B214" s="3" t="s">
        <v>602</v>
      </c>
      <c r="C214" s="3" t="s">
        <v>310</v>
      </c>
      <c r="D214" s="3" t="s">
        <v>348</v>
      </c>
      <c r="E214" s="6" t="s">
        <v>36</v>
      </c>
      <c r="F214" s="3" t="s">
        <v>441</v>
      </c>
      <c r="G214" s="3" t="s">
        <v>537</v>
      </c>
      <c r="H214" s="3" t="s">
        <v>26</v>
      </c>
      <c r="I214" s="3" t="s">
        <v>55</v>
      </c>
      <c r="J214" s="3">
        <v>10</v>
      </c>
      <c r="K214" s="3">
        <v>34990</v>
      </c>
      <c r="L214" s="3" t="s">
        <v>39</v>
      </c>
    </row>
    <row r="215" spans="1:12" x14ac:dyDescent="0.45">
      <c r="A215" s="3" t="s">
        <v>603</v>
      </c>
      <c r="B215" s="3" t="s">
        <v>604</v>
      </c>
      <c r="C215" s="3" t="s">
        <v>310</v>
      </c>
      <c r="D215" s="3" t="s">
        <v>399</v>
      </c>
      <c r="E215" s="7" t="s">
        <v>42</v>
      </c>
      <c r="F215" s="3" t="s">
        <v>371</v>
      </c>
      <c r="G215" s="3" t="s">
        <v>383</v>
      </c>
      <c r="H215" s="3" t="s">
        <v>50</v>
      </c>
      <c r="I215" s="3" t="s">
        <v>27</v>
      </c>
      <c r="J215" s="3">
        <v>26</v>
      </c>
      <c r="K215" s="3">
        <v>49900</v>
      </c>
      <c r="L215" s="3" t="s">
        <v>214</v>
      </c>
    </row>
    <row r="216" spans="1:12" x14ac:dyDescent="0.45">
      <c r="A216" s="3" t="s">
        <v>605</v>
      </c>
      <c r="B216" s="3" t="s">
        <v>606</v>
      </c>
      <c r="C216" s="3" t="s">
        <v>310</v>
      </c>
      <c r="D216" s="3" t="s">
        <v>348</v>
      </c>
      <c r="E216" s="5" t="s">
        <v>24</v>
      </c>
      <c r="F216" s="3" t="s">
        <v>349</v>
      </c>
      <c r="G216" s="3" t="s">
        <v>574</v>
      </c>
      <c r="H216" s="3" t="s">
        <v>26</v>
      </c>
      <c r="I216" s="3" t="s">
        <v>27</v>
      </c>
      <c r="J216" s="3">
        <v>19</v>
      </c>
      <c r="K216" s="3">
        <v>29990</v>
      </c>
      <c r="L216" s="3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zoomScaleNormal="100" workbookViewId="0">
      <selection activeCell="O17" sqref="O17"/>
    </sheetView>
  </sheetViews>
  <sheetFormatPr defaultColWidth="8.6640625" defaultRowHeight="14.25" x14ac:dyDescent="0.45"/>
  <cols>
    <col min="1" max="1" width="20" customWidth="1"/>
    <col min="2" max="2" width="15" customWidth="1"/>
  </cols>
  <sheetData>
    <row r="1" spans="1:6" ht="24.75" customHeight="1" x14ac:dyDescent="0.45">
      <c r="A1" s="1" t="s">
        <v>607</v>
      </c>
      <c r="B1" s="1"/>
      <c r="C1" s="1"/>
      <c r="D1" s="1"/>
      <c r="E1" s="1"/>
      <c r="F1" s="1"/>
    </row>
    <row r="3" spans="1:6" ht="17.25" x14ac:dyDescent="0.45">
      <c r="A3" s="8" t="s">
        <v>608</v>
      </c>
      <c r="B3" s="9">
        <f>COUNTA('All Products'!A:A)-1</f>
        <v>215</v>
      </c>
    </row>
    <row r="4" spans="1:6" ht="17.25" x14ac:dyDescent="0.45">
      <c r="A4" s="8" t="s">
        <v>609</v>
      </c>
      <c r="B4" s="9">
        <f>COUNTIF('All Products'!E:E,"Approved")</f>
        <v>76</v>
      </c>
    </row>
    <row r="5" spans="1:6" ht="17.25" x14ac:dyDescent="0.45">
      <c r="A5" s="8" t="s">
        <v>610</v>
      </c>
      <c r="B5" s="9">
        <f>COUNTIF('All Products'!E2:E216,"Pending Review")</f>
        <v>35</v>
      </c>
    </row>
    <row r="6" spans="1:6" ht="17.25" x14ac:dyDescent="0.45">
      <c r="A6" s="8" t="s">
        <v>611</v>
      </c>
      <c r="B6" s="9">
        <f>COUNTIF('All Products'!E:E,"Rejected")</f>
        <v>45</v>
      </c>
    </row>
    <row r="7" spans="1:6" ht="17.25" x14ac:dyDescent="0.45">
      <c r="A7" s="8" t="s">
        <v>612</v>
      </c>
      <c r="B7" s="9">
        <f>COUNTIF('All Products'!E2:E216,"Re-submission Required")</f>
        <v>59</v>
      </c>
    </row>
    <row r="8" spans="1:6" ht="17.25" x14ac:dyDescent="0.45">
      <c r="A8" s="8" t="s">
        <v>613</v>
      </c>
      <c r="B8" s="9">
        <f>ROUND(AVERAGE('All Products'!J2:J216),1)</f>
        <v>14.6</v>
      </c>
    </row>
    <row r="9" spans="1:6" x14ac:dyDescent="0.45">
      <c r="A9" s="14">
        <f>B4/B3</f>
        <v>0.35348837209302325</v>
      </c>
    </row>
    <row r="11" spans="1:6" x14ac:dyDescent="0.45">
      <c r="A11" s="8" t="s">
        <v>614</v>
      </c>
    </row>
    <row r="12" spans="1:6" x14ac:dyDescent="0.45">
      <c r="A12" t="s">
        <v>615</v>
      </c>
      <c r="B12">
        <f>COUNTIF('All Products'!D2:D216,"India")</f>
        <v>110</v>
      </c>
    </row>
    <row r="13" spans="1:6" x14ac:dyDescent="0.45">
      <c r="A13" t="s">
        <v>616</v>
      </c>
      <c r="B13">
        <f>COUNTA('All Products'!D2:D216)-B12</f>
        <v>105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1"/>
  <sheetViews>
    <sheetView zoomScale="85" zoomScaleNormal="85" workbookViewId="0">
      <selection activeCell="E59" sqref="E59"/>
    </sheetView>
  </sheetViews>
  <sheetFormatPr defaultColWidth="8.6640625" defaultRowHeight="14.25" x14ac:dyDescent="0.45"/>
  <cols>
    <col min="1" max="1" width="12" customWidth="1"/>
    <col min="2" max="2" width="40" customWidth="1"/>
    <col min="3" max="3" width="20" customWidth="1"/>
    <col min="4" max="4" width="18" customWidth="1"/>
    <col min="5" max="5" width="22" customWidth="1"/>
    <col min="6" max="6" width="20" customWidth="1"/>
    <col min="7" max="7" width="15" customWidth="1"/>
    <col min="8" max="8" width="18" customWidth="1"/>
    <col min="9" max="9" width="12" customWidth="1"/>
    <col min="10" max="11" width="15" customWidth="1"/>
    <col min="12" max="12" width="45" customWidth="1"/>
  </cols>
  <sheetData>
    <row r="1" spans="1:12" x14ac:dyDescent="0.4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15</v>
      </c>
      <c r="K2">
        <v>34999</v>
      </c>
      <c r="L2" t="s">
        <v>21</v>
      </c>
    </row>
    <row r="3" spans="1:12" x14ac:dyDescent="0.45">
      <c r="A3" t="s">
        <v>22</v>
      </c>
      <c r="B3" t="s">
        <v>23</v>
      </c>
      <c r="C3" t="s">
        <v>14</v>
      </c>
      <c r="D3" t="s">
        <v>15</v>
      </c>
      <c r="E3" t="s">
        <v>24</v>
      </c>
      <c r="F3" t="s">
        <v>17</v>
      </c>
      <c r="G3" t="s">
        <v>25</v>
      </c>
      <c r="H3" t="s">
        <v>26</v>
      </c>
      <c r="I3" t="s">
        <v>27</v>
      </c>
      <c r="J3">
        <v>11</v>
      </c>
      <c r="K3">
        <v>19999</v>
      </c>
      <c r="L3" t="s">
        <v>28</v>
      </c>
    </row>
    <row r="4" spans="1:12" x14ac:dyDescent="0.45">
      <c r="A4" t="s">
        <v>29</v>
      </c>
      <c r="B4" t="s">
        <v>30</v>
      </c>
      <c r="C4" t="s">
        <v>14</v>
      </c>
      <c r="D4" t="s">
        <v>15</v>
      </c>
      <c r="E4" t="s">
        <v>16</v>
      </c>
      <c r="F4" t="s">
        <v>17</v>
      </c>
      <c r="G4" t="s">
        <v>31</v>
      </c>
      <c r="H4" t="s">
        <v>32</v>
      </c>
      <c r="I4" t="s">
        <v>27</v>
      </c>
      <c r="J4">
        <v>16</v>
      </c>
      <c r="K4">
        <v>1299</v>
      </c>
      <c r="L4" t="s">
        <v>33</v>
      </c>
    </row>
    <row r="5" spans="1:12" x14ac:dyDescent="0.45">
      <c r="A5" t="s">
        <v>34</v>
      </c>
      <c r="B5" t="s">
        <v>35</v>
      </c>
      <c r="C5" t="s">
        <v>14</v>
      </c>
      <c r="D5" t="s">
        <v>15</v>
      </c>
      <c r="E5" t="s">
        <v>36</v>
      </c>
      <c r="F5" t="s">
        <v>17</v>
      </c>
      <c r="G5" t="s">
        <v>37</v>
      </c>
      <c r="H5" t="s">
        <v>38</v>
      </c>
      <c r="I5" t="s">
        <v>20</v>
      </c>
      <c r="J5">
        <v>3</v>
      </c>
      <c r="K5">
        <v>1499</v>
      </c>
      <c r="L5" t="s">
        <v>39</v>
      </c>
    </row>
    <row r="6" spans="1:12" x14ac:dyDescent="0.45">
      <c r="A6" t="s">
        <v>40</v>
      </c>
      <c r="B6" t="s">
        <v>41</v>
      </c>
      <c r="C6" t="s">
        <v>14</v>
      </c>
      <c r="D6" t="s">
        <v>15</v>
      </c>
      <c r="E6" t="s">
        <v>42</v>
      </c>
      <c r="F6" t="s">
        <v>17</v>
      </c>
      <c r="G6" t="s">
        <v>43</v>
      </c>
      <c r="H6" t="s">
        <v>19</v>
      </c>
      <c r="I6" t="s">
        <v>27</v>
      </c>
      <c r="J6">
        <v>22</v>
      </c>
      <c r="K6">
        <v>1799</v>
      </c>
      <c r="L6" t="s">
        <v>33</v>
      </c>
    </row>
    <row r="7" spans="1:12" x14ac:dyDescent="0.45">
      <c r="A7" t="s">
        <v>44</v>
      </c>
      <c r="B7" t="s">
        <v>45</v>
      </c>
      <c r="C7" t="s">
        <v>14</v>
      </c>
      <c r="D7" t="s">
        <v>15</v>
      </c>
      <c r="E7" t="s">
        <v>24</v>
      </c>
      <c r="F7" t="s">
        <v>17</v>
      </c>
      <c r="G7" t="s">
        <v>46</v>
      </c>
      <c r="H7" t="s">
        <v>32</v>
      </c>
      <c r="I7" t="s">
        <v>27</v>
      </c>
      <c r="J7">
        <v>23</v>
      </c>
      <c r="K7">
        <v>2499</v>
      </c>
      <c r="L7" t="s">
        <v>28</v>
      </c>
    </row>
    <row r="8" spans="1:12" x14ac:dyDescent="0.45">
      <c r="A8" t="s">
        <v>47</v>
      </c>
      <c r="B8" t="s">
        <v>48</v>
      </c>
      <c r="C8" t="s">
        <v>14</v>
      </c>
      <c r="D8" t="s">
        <v>15</v>
      </c>
      <c r="E8" t="s">
        <v>36</v>
      </c>
      <c r="F8" t="s">
        <v>17</v>
      </c>
      <c r="G8" t="s">
        <v>49</v>
      </c>
      <c r="H8" t="s">
        <v>50</v>
      </c>
      <c r="I8" t="s">
        <v>20</v>
      </c>
      <c r="J8">
        <v>6</v>
      </c>
      <c r="K8">
        <v>999</v>
      </c>
      <c r="L8" t="s">
        <v>51</v>
      </c>
    </row>
    <row r="9" spans="1:12" x14ac:dyDescent="0.45">
      <c r="A9" t="s">
        <v>52</v>
      </c>
      <c r="B9" t="s">
        <v>53</v>
      </c>
      <c r="C9" t="s">
        <v>14</v>
      </c>
      <c r="D9" t="s">
        <v>15</v>
      </c>
      <c r="E9" t="s">
        <v>36</v>
      </c>
      <c r="F9" t="s">
        <v>17</v>
      </c>
      <c r="G9" t="s">
        <v>54</v>
      </c>
      <c r="H9" t="s">
        <v>38</v>
      </c>
      <c r="I9" t="s">
        <v>55</v>
      </c>
      <c r="J9">
        <v>7</v>
      </c>
      <c r="K9">
        <v>899</v>
      </c>
      <c r="L9" t="s">
        <v>39</v>
      </c>
    </row>
    <row r="10" spans="1:12" x14ac:dyDescent="0.45">
      <c r="A10" t="s">
        <v>56</v>
      </c>
      <c r="B10" t="s">
        <v>57</v>
      </c>
      <c r="C10" t="s">
        <v>14</v>
      </c>
      <c r="D10" t="s">
        <v>15</v>
      </c>
      <c r="E10" t="s">
        <v>42</v>
      </c>
      <c r="F10" t="s">
        <v>17</v>
      </c>
      <c r="G10" t="s">
        <v>58</v>
      </c>
      <c r="H10" t="s">
        <v>38</v>
      </c>
      <c r="I10" t="s">
        <v>27</v>
      </c>
      <c r="J10">
        <v>10</v>
      </c>
      <c r="K10">
        <v>17999</v>
      </c>
      <c r="L10" t="s">
        <v>39</v>
      </c>
    </row>
    <row r="11" spans="1:12" x14ac:dyDescent="0.45">
      <c r="A11" t="s">
        <v>59</v>
      </c>
      <c r="B11" t="s">
        <v>60</v>
      </c>
      <c r="C11" t="s">
        <v>14</v>
      </c>
      <c r="D11" t="s">
        <v>15</v>
      </c>
      <c r="E11" t="s">
        <v>42</v>
      </c>
      <c r="F11" t="s">
        <v>17</v>
      </c>
      <c r="G11" t="s">
        <v>61</v>
      </c>
      <c r="H11" t="s">
        <v>62</v>
      </c>
      <c r="I11" t="s">
        <v>27</v>
      </c>
      <c r="J11">
        <v>14</v>
      </c>
      <c r="K11">
        <v>27999</v>
      </c>
      <c r="L11" t="s">
        <v>63</v>
      </c>
    </row>
    <row r="12" spans="1:12" x14ac:dyDescent="0.45">
      <c r="A12" t="s">
        <v>64</v>
      </c>
      <c r="B12" t="s">
        <v>65</v>
      </c>
      <c r="C12" t="s">
        <v>14</v>
      </c>
      <c r="D12" t="s">
        <v>15</v>
      </c>
      <c r="E12" t="s">
        <v>36</v>
      </c>
      <c r="F12" t="s">
        <v>17</v>
      </c>
      <c r="G12" t="s">
        <v>66</v>
      </c>
      <c r="H12" t="s">
        <v>67</v>
      </c>
      <c r="I12" t="s">
        <v>55</v>
      </c>
      <c r="J12">
        <v>7</v>
      </c>
      <c r="K12">
        <v>1799</v>
      </c>
      <c r="L12" t="s">
        <v>51</v>
      </c>
    </row>
    <row r="13" spans="1:12" x14ac:dyDescent="0.45">
      <c r="A13" t="s">
        <v>68</v>
      </c>
      <c r="B13" t="s">
        <v>69</v>
      </c>
      <c r="C13" t="s">
        <v>14</v>
      </c>
      <c r="D13" t="s">
        <v>15</v>
      </c>
      <c r="E13" t="s">
        <v>36</v>
      </c>
      <c r="F13" t="s">
        <v>17</v>
      </c>
      <c r="G13" t="s">
        <v>70</v>
      </c>
      <c r="H13" t="s">
        <v>50</v>
      </c>
      <c r="I13" t="s">
        <v>55</v>
      </c>
      <c r="J13">
        <v>5</v>
      </c>
      <c r="K13">
        <v>2799</v>
      </c>
      <c r="L13" t="s">
        <v>39</v>
      </c>
    </row>
    <row r="14" spans="1:12" x14ac:dyDescent="0.45">
      <c r="A14" t="s">
        <v>71</v>
      </c>
      <c r="B14" t="s">
        <v>72</v>
      </c>
      <c r="C14" t="s">
        <v>14</v>
      </c>
      <c r="D14" t="s">
        <v>15</v>
      </c>
      <c r="E14" t="s">
        <v>42</v>
      </c>
      <c r="F14" t="s">
        <v>17</v>
      </c>
      <c r="G14" t="s">
        <v>73</v>
      </c>
      <c r="H14" t="s">
        <v>32</v>
      </c>
      <c r="I14" t="s">
        <v>27</v>
      </c>
      <c r="J14">
        <v>13</v>
      </c>
      <c r="K14">
        <v>699</v>
      </c>
      <c r="L14" t="s">
        <v>74</v>
      </c>
    </row>
    <row r="15" spans="1:12" x14ac:dyDescent="0.45">
      <c r="A15" t="s">
        <v>75</v>
      </c>
      <c r="B15" t="s">
        <v>76</v>
      </c>
      <c r="C15" t="s">
        <v>14</v>
      </c>
      <c r="D15" t="s">
        <v>15</v>
      </c>
      <c r="E15" t="s">
        <v>16</v>
      </c>
      <c r="F15" t="s">
        <v>17</v>
      </c>
      <c r="G15" t="s">
        <v>77</v>
      </c>
      <c r="H15" t="s">
        <v>50</v>
      </c>
      <c r="I15" t="s">
        <v>20</v>
      </c>
      <c r="J15">
        <v>13</v>
      </c>
      <c r="K15">
        <v>1299</v>
      </c>
      <c r="L15" t="s">
        <v>78</v>
      </c>
    </row>
    <row r="16" spans="1:12" x14ac:dyDescent="0.45">
      <c r="A16" t="s">
        <v>79</v>
      </c>
      <c r="B16" t="s">
        <v>80</v>
      </c>
      <c r="C16" t="s">
        <v>14</v>
      </c>
      <c r="D16" t="s">
        <v>15</v>
      </c>
      <c r="E16" t="s">
        <v>36</v>
      </c>
      <c r="F16" t="s">
        <v>17</v>
      </c>
      <c r="G16" t="s">
        <v>81</v>
      </c>
      <c r="H16" t="s">
        <v>38</v>
      </c>
      <c r="I16" t="s">
        <v>20</v>
      </c>
      <c r="J16">
        <v>6</v>
      </c>
      <c r="K16">
        <v>1399</v>
      </c>
      <c r="L16" t="s">
        <v>51</v>
      </c>
    </row>
    <row r="17" spans="1:12" x14ac:dyDescent="0.45">
      <c r="A17" t="s">
        <v>82</v>
      </c>
      <c r="B17" t="s">
        <v>83</v>
      </c>
      <c r="C17" t="s">
        <v>14</v>
      </c>
      <c r="D17" t="s">
        <v>15</v>
      </c>
      <c r="E17" t="s">
        <v>16</v>
      </c>
      <c r="F17" t="s">
        <v>17</v>
      </c>
      <c r="G17" t="s">
        <v>84</v>
      </c>
      <c r="H17" t="s">
        <v>62</v>
      </c>
      <c r="I17" t="s">
        <v>20</v>
      </c>
      <c r="J17">
        <v>12</v>
      </c>
      <c r="K17">
        <v>1699</v>
      </c>
      <c r="L17" t="s">
        <v>85</v>
      </c>
    </row>
    <row r="18" spans="1:12" x14ac:dyDescent="0.45">
      <c r="A18" t="s">
        <v>86</v>
      </c>
      <c r="B18" t="s">
        <v>87</v>
      </c>
      <c r="C18" t="s">
        <v>14</v>
      </c>
      <c r="D18" t="s">
        <v>15</v>
      </c>
      <c r="E18" t="s">
        <v>16</v>
      </c>
      <c r="F18" t="s">
        <v>17</v>
      </c>
      <c r="G18" t="s">
        <v>88</v>
      </c>
      <c r="H18" t="s">
        <v>19</v>
      </c>
      <c r="I18" t="s">
        <v>20</v>
      </c>
      <c r="J18">
        <v>25</v>
      </c>
      <c r="K18">
        <v>699</v>
      </c>
      <c r="L18" t="s">
        <v>63</v>
      </c>
    </row>
    <row r="19" spans="1:12" x14ac:dyDescent="0.45">
      <c r="A19" t="s">
        <v>89</v>
      </c>
      <c r="B19" t="s">
        <v>90</v>
      </c>
      <c r="C19" t="s">
        <v>14</v>
      </c>
      <c r="D19" t="s">
        <v>15</v>
      </c>
      <c r="E19" t="s">
        <v>36</v>
      </c>
      <c r="F19" t="s">
        <v>17</v>
      </c>
      <c r="G19" t="s">
        <v>91</v>
      </c>
      <c r="H19" t="s">
        <v>62</v>
      </c>
      <c r="I19" t="s">
        <v>55</v>
      </c>
      <c r="J19">
        <v>9</v>
      </c>
      <c r="K19">
        <v>399</v>
      </c>
      <c r="L19" t="s">
        <v>39</v>
      </c>
    </row>
    <row r="20" spans="1:12" x14ac:dyDescent="0.45">
      <c r="A20" t="s">
        <v>92</v>
      </c>
      <c r="B20" t="s">
        <v>93</v>
      </c>
      <c r="C20" t="s">
        <v>14</v>
      </c>
      <c r="D20" t="s">
        <v>15</v>
      </c>
      <c r="E20" t="s">
        <v>24</v>
      </c>
      <c r="F20" t="s">
        <v>17</v>
      </c>
      <c r="G20" t="s">
        <v>94</v>
      </c>
      <c r="H20" t="s">
        <v>95</v>
      </c>
      <c r="I20" t="s">
        <v>27</v>
      </c>
      <c r="J20">
        <v>25</v>
      </c>
      <c r="K20">
        <v>1199</v>
      </c>
      <c r="L20" t="s">
        <v>39</v>
      </c>
    </row>
    <row r="21" spans="1:12" x14ac:dyDescent="0.45">
      <c r="A21" t="s">
        <v>96</v>
      </c>
      <c r="B21" t="s">
        <v>97</v>
      </c>
      <c r="C21" t="s">
        <v>14</v>
      </c>
      <c r="D21" t="s">
        <v>15</v>
      </c>
      <c r="E21" t="s">
        <v>16</v>
      </c>
      <c r="F21" t="s">
        <v>17</v>
      </c>
      <c r="G21" t="s">
        <v>98</v>
      </c>
      <c r="H21" t="s">
        <v>67</v>
      </c>
      <c r="I21" t="s">
        <v>27</v>
      </c>
      <c r="J21">
        <v>29</v>
      </c>
      <c r="K21">
        <v>799</v>
      </c>
      <c r="L21" t="s">
        <v>74</v>
      </c>
    </row>
    <row r="22" spans="1:12" x14ac:dyDescent="0.45">
      <c r="A22" t="s">
        <v>99</v>
      </c>
      <c r="B22" t="s">
        <v>100</v>
      </c>
      <c r="C22" t="s">
        <v>14</v>
      </c>
      <c r="D22" t="s">
        <v>15</v>
      </c>
      <c r="E22" t="s">
        <v>16</v>
      </c>
      <c r="F22" t="s">
        <v>17</v>
      </c>
      <c r="G22" t="s">
        <v>101</v>
      </c>
      <c r="H22" t="s">
        <v>95</v>
      </c>
      <c r="I22" t="s">
        <v>20</v>
      </c>
      <c r="J22">
        <v>25</v>
      </c>
      <c r="K22">
        <v>2499</v>
      </c>
      <c r="L22" t="s">
        <v>85</v>
      </c>
    </row>
    <row r="23" spans="1:12" x14ac:dyDescent="0.45">
      <c r="A23" t="s">
        <v>102</v>
      </c>
      <c r="B23" t="s">
        <v>103</v>
      </c>
      <c r="C23" t="s">
        <v>14</v>
      </c>
      <c r="D23" t="s">
        <v>15</v>
      </c>
      <c r="E23" t="s">
        <v>42</v>
      </c>
      <c r="F23" t="s">
        <v>17</v>
      </c>
      <c r="G23" t="s">
        <v>104</v>
      </c>
      <c r="H23" t="s">
        <v>62</v>
      </c>
      <c r="I23" t="s">
        <v>27</v>
      </c>
      <c r="J23">
        <v>13</v>
      </c>
      <c r="K23">
        <v>1299</v>
      </c>
      <c r="L23" t="s">
        <v>105</v>
      </c>
    </row>
    <row r="24" spans="1:12" x14ac:dyDescent="0.45">
      <c r="A24" t="s">
        <v>106</v>
      </c>
      <c r="B24" t="s">
        <v>107</v>
      </c>
      <c r="C24" t="s">
        <v>14</v>
      </c>
      <c r="D24" t="s">
        <v>15</v>
      </c>
      <c r="E24" t="s">
        <v>36</v>
      </c>
      <c r="F24" t="s">
        <v>17</v>
      </c>
      <c r="G24" t="s">
        <v>108</v>
      </c>
      <c r="H24" t="s">
        <v>50</v>
      </c>
      <c r="I24" t="s">
        <v>20</v>
      </c>
      <c r="J24">
        <v>3</v>
      </c>
      <c r="K24">
        <v>12499</v>
      </c>
      <c r="L24" t="s">
        <v>51</v>
      </c>
    </row>
    <row r="25" spans="1:12" x14ac:dyDescent="0.45">
      <c r="A25" t="s">
        <v>109</v>
      </c>
      <c r="B25" t="s">
        <v>110</v>
      </c>
      <c r="C25" t="s">
        <v>14</v>
      </c>
      <c r="D25" t="s">
        <v>15</v>
      </c>
      <c r="E25" t="s">
        <v>16</v>
      </c>
      <c r="F25" t="s">
        <v>17</v>
      </c>
      <c r="G25" t="s">
        <v>111</v>
      </c>
      <c r="H25" t="s">
        <v>67</v>
      </c>
      <c r="I25" t="s">
        <v>27</v>
      </c>
      <c r="J25">
        <v>15</v>
      </c>
      <c r="K25">
        <v>10999</v>
      </c>
      <c r="L25" t="s">
        <v>105</v>
      </c>
    </row>
    <row r="26" spans="1:12" x14ac:dyDescent="0.45">
      <c r="A26" t="s">
        <v>112</v>
      </c>
      <c r="B26" t="s">
        <v>113</v>
      </c>
      <c r="C26" t="s">
        <v>14</v>
      </c>
      <c r="D26" t="s">
        <v>15</v>
      </c>
      <c r="E26" t="s">
        <v>36</v>
      </c>
      <c r="F26" t="s">
        <v>17</v>
      </c>
      <c r="G26" t="s">
        <v>114</v>
      </c>
      <c r="H26" t="s">
        <v>38</v>
      </c>
      <c r="I26" t="s">
        <v>55</v>
      </c>
      <c r="J26">
        <v>6</v>
      </c>
      <c r="K26">
        <v>4999</v>
      </c>
      <c r="L26" t="s">
        <v>39</v>
      </c>
    </row>
    <row r="27" spans="1:12" x14ac:dyDescent="0.45">
      <c r="A27" t="s">
        <v>115</v>
      </c>
      <c r="B27" t="s">
        <v>116</v>
      </c>
      <c r="C27" t="s">
        <v>14</v>
      </c>
      <c r="D27" t="s">
        <v>15</v>
      </c>
      <c r="E27" t="s">
        <v>16</v>
      </c>
      <c r="F27" t="s">
        <v>17</v>
      </c>
      <c r="G27" t="s">
        <v>108</v>
      </c>
      <c r="H27" t="s">
        <v>19</v>
      </c>
      <c r="I27" t="s">
        <v>27</v>
      </c>
      <c r="J27">
        <v>17</v>
      </c>
      <c r="K27">
        <v>11999</v>
      </c>
      <c r="L27" t="s">
        <v>105</v>
      </c>
    </row>
    <row r="28" spans="1:12" x14ac:dyDescent="0.45">
      <c r="A28" t="s">
        <v>117</v>
      </c>
      <c r="B28" t="s">
        <v>118</v>
      </c>
      <c r="C28" t="s">
        <v>14</v>
      </c>
      <c r="D28" t="s">
        <v>15</v>
      </c>
      <c r="E28" t="s">
        <v>42</v>
      </c>
      <c r="F28" t="s">
        <v>17</v>
      </c>
      <c r="G28" t="s">
        <v>81</v>
      </c>
      <c r="H28" t="s">
        <v>62</v>
      </c>
      <c r="I28" t="s">
        <v>27</v>
      </c>
      <c r="J28">
        <v>16</v>
      </c>
      <c r="K28">
        <v>299</v>
      </c>
      <c r="L28" t="s">
        <v>119</v>
      </c>
    </row>
    <row r="29" spans="1:12" x14ac:dyDescent="0.45">
      <c r="A29" t="s">
        <v>120</v>
      </c>
      <c r="B29" t="s">
        <v>121</v>
      </c>
      <c r="C29" t="s">
        <v>14</v>
      </c>
      <c r="D29" t="s">
        <v>15</v>
      </c>
      <c r="E29" t="s">
        <v>36</v>
      </c>
      <c r="F29" t="s">
        <v>17</v>
      </c>
      <c r="G29" t="s">
        <v>122</v>
      </c>
      <c r="H29" t="s">
        <v>50</v>
      </c>
      <c r="I29" t="s">
        <v>20</v>
      </c>
      <c r="J29">
        <v>9</v>
      </c>
      <c r="K29">
        <v>149</v>
      </c>
      <c r="L29" t="s">
        <v>39</v>
      </c>
    </row>
    <row r="30" spans="1:12" x14ac:dyDescent="0.45">
      <c r="A30" t="s">
        <v>123</v>
      </c>
      <c r="B30" t="s">
        <v>124</v>
      </c>
      <c r="C30" t="s">
        <v>14</v>
      </c>
      <c r="D30" t="s">
        <v>15</v>
      </c>
      <c r="E30" t="s">
        <v>16</v>
      </c>
      <c r="F30" t="s">
        <v>17</v>
      </c>
      <c r="G30" t="s">
        <v>125</v>
      </c>
      <c r="H30" t="s">
        <v>67</v>
      </c>
      <c r="I30" t="s">
        <v>20</v>
      </c>
      <c r="J30">
        <v>12</v>
      </c>
      <c r="K30">
        <v>1899</v>
      </c>
      <c r="L30" t="s">
        <v>126</v>
      </c>
    </row>
    <row r="31" spans="1:12" x14ac:dyDescent="0.45">
      <c r="A31" t="s">
        <v>127</v>
      </c>
      <c r="B31" t="s">
        <v>128</v>
      </c>
      <c r="C31" t="s">
        <v>14</v>
      </c>
      <c r="D31" t="s">
        <v>15</v>
      </c>
      <c r="E31" t="s">
        <v>24</v>
      </c>
      <c r="F31" t="s">
        <v>17</v>
      </c>
      <c r="G31" t="s">
        <v>129</v>
      </c>
      <c r="H31" t="s">
        <v>19</v>
      </c>
      <c r="I31" t="s">
        <v>20</v>
      </c>
      <c r="J31">
        <v>25</v>
      </c>
      <c r="K31">
        <v>2199</v>
      </c>
      <c r="L31" t="s">
        <v>130</v>
      </c>
    </row>
    <row r="32" spans="1:12" x14ac:dyDescent="0.45">
      <c r="A32" t="s">
        <v>131</v>
      </c>
      <c r="B32" t="s">
        <v>132</v>
      </c>
      <c r="C32" t="s">
        <v>133</v>
      </c>
      <c r="D32" t="s">
        <v>15</v>
      </c>
      <c r="E32" t="s">
        <v>16</v>
      </c>
      <c r="F32" t="s">
        <v>134</v>
      </c>
      <c r="G32" t="s">
        <v>135</v>
      </c>
      <c r="H32" t="s">
        <v>32</v>
      </c>
      <c r="I32" t="s">
        <v>27</v>
      </c>
      <c r="J32">
        <v>25</v>
      </c>
      <c r="K32">
        <v>45</v>
      </c>
      <c r="L32" t="s">
        <v>136</v>
      </c>
    </row>
    <row r="33" spans="1:12" x14ac:dyDescent="0.45">
      <c r="A33" t="s">
        <v>137</v>
      </c>
      <c r="B33" t="s">
        <v>138</v>
      </c>
      <c r="C33" t="s">
        <v>133</v>
      </c>
      <c r="D33" t="s">
        <v>15</v>
      </c>
      <c r="E33" t="s">
        <v>16</v>
      </c>
      <c r="F33" t="s">
        <v>134</v>
      </c>
      <c r="G33" t="s">
        <v>139</v>
      </c>
      <c r="H33" t="s">
        <v>50</v>
      </c>
      <c r="I33" t="s">
        <v>27</v>
      </c>
      <c r="J33">
        <v>30</v>
      </c>
      <c r="K33">
        <v>52</v>
      </c>
      <c r="L33" t="s">
        <v>39</v>
      </c>
    </row>
    <row r="34" spans="1:12" x14ac:dyDescent="0.45">
      <c r="A34" t="s">
        <v>140</v>
      </c>
      <c r="B34" t="s">
        <v>141</v>
      </c>
      <c r="C34" t="s">
        <v>133</v>
      </c>
      <c r="D34" t="s">
        <v>15</v>
      </c>
      <c r="E34" t="s">
        <v>16</v>
      </c>
      <c r="F34" t="s">
        <v>134</v>
      </c>
      <c r="G34" t="s">
        <v>66</v>
      </c>
      <c r="H34" t="s">
        <v>19</v>
      </c>
      <c r="I34" t="s">
        <v>20</v>
      </c>
      <c r="J34">
        <v>27</v>
      </c>
      <c r="K34">
        <v>85</v>
      </c>
      <c r="L34" t="s">
        <v>33</v>
      </c>
    </row>
    <row r="35" spans="1:12" x14ac:dyDescent="0.45">
      <c r="A35" t="s">
        <v>142</v>
      </c>
      <c r="B35" t="s">
        <v>143</v>
      </c>
      <c r="C35" t="s">
        <v>133</v>
      </c>
      <c r="D35" t="s">
        <v>15</v>
      </c>
      <c r="E35" t="s">
        <v>24</v>
      </c>
      <c r="F35" t="s">
        <v>134</v>
      </c>
      <c r="G35" t="s">
        <v>144</v>
      </c>
      <c r="H35" t="s">
        <v>62</v>
      </c>
      <c r="I35" t="s">
        <v>20</v>
      </c>
      <c r="J35">
        <v>6</v>
      </c>
      <c r="K35">
        <v>65</v>
      </c>
      <c r="L35" t="s">
        <v>145</v>
      </c>
    </row>
    <row r="36" spans="1:12" x14ac:dyDescent="0.45">
      <c r="A36" t="s">
        <v>146</v>
      </c>
      <c r="B36" t="s">
        <v>147</v>
      </c>
      <c r="C36" t="s">
        <v>133</v>
      </c>
      <c r="D36" t="s">
        <v>15</v>
      </c>
      <c r="E36" t="s">
        <v>24</v>
      </c>
      <c r="F36" t="s">
        <v>134</v>
      </c>
      <c r="G36" t="s">
        <v>148</v>
      </c>
      <c r="H36" t="s">
        <v>26</v>
      </c>
      <c r="I36" t="s">
        <v>27</v>
      </c>
      <c r="J36">
        <v>18</v>
      </c>
      <c r="K36">
        <v>285</v>
      </c>
      <c r="L36" t="s">
        <v>74</v>
      </c>
    </row>
    <row r="37" spans="1:12" x14ac:dyDescent="0.45">
      <c r="A37" t="s">
        <v>149</v>
      </c>
      <c r="B37" t="s">
        <v>150</v>
      </c>
      <c r="C37" t="s">
        <v>133</v>
      </c>
      <c r="D37" t="s">
        <v>15</v>
      </c>
      <c r="E37" t="s">
        <v>42</v>
      </c>
      <c r="F37" t="s">
        <v>134</v>
      </c>
      <c r="G37" t="s">
        <v>37</v>
      </c>
      <c r="H37" t="s">
        <v>26</v>
      </c>
      <c r="I37" t="s">
        <v>27</v>
      </c>
      <c r="J37">
        <v>11</v>
      </c>
      <c r="K37">
        <v>135</v>
      </c>
      <c r="L37" t="s">
        <v>33</v>
      </c>
    </row>
    <row r="38" spans="1:12" x14ac:dyDescent="0.45">
      <c r="A38" t="s">
        <v>151</v>
      </c>
      <c r="B38" t="s">
        <v>152</v>
      </c>
      <c r="C38" t="s">
        <v>133</v>
      </c>
      <c r="D38" t="s">
        <v>15</v>
      </c>
      <c r="E38" t="s">
        <v>36</v>
      </c>
      <c r="F38" t="s">
        <v>134</v>
      </c>
      <c r="G38" t="s">
        <v>153</v>
      </c>
      <c r="H38" t="s">
        <v>95</v>
      </c>
      <c r="I38" t="s">
        <v>20</v>
      </c>
      <c r="J38">
        <v>9</v>
      </c>
      <c r="K38">
        <v>62</v>
      </c>
      <c r="L38" t="s">
        <v>51</v>
      </c>
    </row>
    <row r="39" spans="1:12" x14ac:dyDescent="0.45">
      <c r="A39" t="s">
        <v>154</v>
      </c>
      <c r="B39" t="s">
        <v>155</v>
      </c>
      <c r="C39" t="s">
        <v>133</v>
      </c>
      <c r="D39" t="s">
        <v>15</v>
      </c>
      <c r="E39" t="s">
        <v>16</v>
      </c>
      <c r="F39" t="s">
        <v>134</v>
      </c>
      <c r="G39" t="s">
        <v>156</v>
      </c>
      <c r="H39" t="s">
        <v>62</v>
      </c>
      <c r="I39" t="s">
        <v>20</v>
      </c>
      <c r="J39">
        <v>27</v>
      </c>
      <c r="K39">
        <v>335</v>
      </c>
      <c r="L39" t="s">
        <v>136</v>
      </c>
    </row>
    <row r="40" spans="1:12" x14ac:dyDescent="0.45">
      <c r="A40" t="s">
        <v>157</v>
      </c>
      <c r="B40" t="s">
        <v>158</v>
      </c>
      <c r="C40" t="s">
        <v>133</v>
      </c>
      <c r="D40" t="s">
        <v>15</v>
      </c>
      <c r="E40" t="s">
        <v>36</v>
      </c>
      <c r="F40" t="s">
        <v>134</v>
      </c>
      <c r="G40" t="s">
        <v>159</v>
      </c>
      <c r="H40" t="s">
        <v>32</v>
      </c>
      <c r="I40" t="s">
        <v>20</v>
      </c>
      <c r="J40">
        <v>7</v>
      </c>
      <c r="K40">
        <v>120</v>
      </c>
      <c r="L40" t="s">
        <v>51</v>
      </c>
    </row>
    <row r="41" spans="1:12" x14ac:dyDescent="0.45">
      <c r="A41" t="s">
        <v>160</v>
      </c>
      <c r="B41" t="s">
        <v>161</v>
      </c>
      <c r="C41" t="s">
        <v>133</v>
      </c>
      <c r="D41" t="s">
        <v>15</v>
      </c>
      <c r="E41" t="s">
        <v>16</v>
      </c>
      <c r="F41" t="s">
        <v>134</v>
      </c>
      <c r="G41" t="s">
        <v>162</v>
      </c>
      <c r="H41" t="s">
        <v>67</v>
      </c>
      <c r="I41" t="s">
        <v>20</v>
      </c>
      <c r="J41">
        <v>13</v>
      </c>
      <c r="K41">
        <v>40</v>
      </c>
      <c r="L41" t="s">
        <v>163</v>
      </c>
    </row>
    <row r="42" spans="1:12" x14ac:dyDescent="0.45">
      <c r="A42" t="s">
        <v>164</v>
      </c>
      <c r="B42" t="s">
        <v>165</v>
      </c>
      <c r="C42" t="s">
        <v>133</v>
      </c>
      <c r="D42" t="s">
        <v>15</v>
      </c>
      <c r="E42" t="s">
        <v>16</v>
      </c>
      <c r="F42" t="s">
        <v>134</v>
      </c>
      <c r="G42" t="s">
        <v>129</v>
      </c>
      <c r="H42" t="s">
        <v>32</v>
      </c>
      <c r="I42" t="s">
        <v>20</v>
      </c>
      <c r="J42">
        <v>19</v>
      </c>
      <c r="K42">
        <v>35</v>
      </c>
      <c r="L42" t="s">
        <v>166</v>
      </c>
    </row>
    <row r="43" spans="1:12" x14ac:dyDescent="0.45">
      <c r="A43" t="s">
        <v>167</v>
      </c>
      <c r="B43" t="s">
        <v>168</v>
      </c>
      <c r="C43" t="s">
        <v>133</v>
      </c>
      <c r="D43" t="s">
        <v>15</v>
      </c>
      <c r="E43" t="s">
        <v>42</v>
      </c>
      <c r="F43" t="s">
        <v>134</v>
      </c>
      <c r="G43" t="s">
        <v>169</v>
      </c>
      <c r="H43" t="s">
        <v>62</v>
      </c>
      <c r="I43" t="s">
        <v>27</v>
      </c>
      <c r="J43">
        <v>29</v>
      </c>
      <c r="K43">
        <v>32</v>
      </c>
      <c r="L43" t="s">
        <v>39</v>
      </c>
    </row>
    <row r="44" spans="1:12" x14ac:dyDescent="0.45">
      <c r="A44" t="s">
        <v>170</v>
      </c>
      <c r="B44" t="s">
        <v>171</v>
      </c>
      <c r="C44" t="s">
        <v>133</v>
      </c>
      <c r="D44" t="s">
        <v>15</v>
      </c>
      <c r="E44" t="s">
        <v>36</v>
      </c>
      <c r="F44" t="s">
        <v>134</v>
      </c>
      <c r="G44" t="s">
        <v>172</v>
      </c>
      <c r="H44" t="s">
        <v>95</v>
      </c>
      <c r="I44" t="s">
        <v>55</v>
      </c>
      <c r="J44">
        <v>5</v>
      </c>
      <c r="K44">
        <v>425</v>
      </c>
      <c r="L44" t="s">
        <v>51</v>
      </c>
    </row>
    <row r="45" spans="1:12" x14ac:dyDescent="0.45">
      <c r="A45" t="s">
        <v>173</v>
      </c>
      <c r="B45" t="s">
        <v>174</v>
      </c>
      <c r="C45" t="s">
        <v>133</v>
      </c>
      <c r="D45" t="s">
        <v>15</v>
      </c>
      <c r="E45" t="s">
        <v>36</v>
      </c>
      <c r="F45" t="s">
        <v>134</v>
      </c>
      <c r="G45" t="s">
        <v>84</v>
      </c>
      <c r="H45" t="s">
        <v>50</v>
      </c>
      <c r="I45" t="s">
        <v>55</v>
      </c>
      <c r="J45">
        <v>8</v>
      </c>
      <c r="K45">
        <v>220</v>
      </c>
      <c r="L45" t="s">
        <v>51</v>
      </c>
    </row>
    <row r="46" spans="1:12" x14ac:dyDescent="0.45">
      <c r="A46" t="s">
        <v>175</v>
      </c>
      <c r="B46" t="s">
        <v>176</v>
      </c>
      <c r="C46" t="s">
        <v>133</v>
      </c>
      <c r="D46" t="s">
        <v>15</v>
      </c>
      <c r="E46" t="s">
        <v>36</v>
      </c>
      <c r="F46" t="s">
        <v>134</v>
      </c>
      <c r="G46" t="s">
        <v>177</v>
      </c>
      <c r="H46" t="s">
        <v>50</v>
      </c>
      <c r="I46" t="s">
        <v>55</v>
      </c>
      <c r="J46">
        <v>5</v>
      </c>
      <c r="K46">
        <v>395</v>
      </c>
      <c r="L46" t="s">
        <v>39</v>
      </c>
    </row>
    <row r="47" spans="1:12" x14ac:dyDescent="0.45">
      <c r="A47" t="s">
        <v>178</v>
      </c>
      <c r="B47" t="s">
        <v>179</v>
      </c>
      <c r="C47" t="s">
        <v>133</v>
      </c>
      <c r="D47" t="s">
        <v>15</v>
      </c>
      <c r="E47" t="s">
        <v>16</v>
      </c>
      <c r="F47" t="s">
        <v>134</v>
      </c>
      <c r="G47" t="s">
        <v>180</v>
      </c>
      <c r="H47" t="s">
        <v>38</v>
      </c>
      <c r="I47" t="s">
        <v>27</v>
      </c>
      <c r="J47">
        <v>13</v>
      </c>
      <c r="K47">
        <v>185</v>
      </c>
      <c r="L47" t="s">
        <v>85</v>
      </c>
    </row>
    <row r="48" spans="1:12" x14ac:dyDescent="0.45">
      <c r="A48" t="s">
        <v>181</v>
      </c>
      <c r="B48" t="s">
        <v>182</v>
      </c>
      <c r="C48" t="s">
        <v>133</v>
      </c>
      <c r="D48" t="s">
        <v>15</v>
      </c>
      <c r="E48" t="s">
        <v>16</v>
      </c>
      <c r="F48" t="s">
        <v>134</v>
      </c>
      <c r="G48" t="s">
        <v>183</v>
      </c>
      <c r="H48" t="s">
        <v>26</v>
      </c>
      <c r="I48" t="s">
        <v>27</v>
      </c>
      <c r="J48">
        <v>26</v>
      </c>
      <c r="K48">
        <v>299</v>
      </c>
      <c r="L48" t="s">
        <v>105</v>
      </c>
    </row>
    <row r="49" spans="1:12" x14ac:dyDescent="0.45">
      <c r="A49" t="s">
        <v>184</v>
      </c>
      <c r="B49" t="s">
        <v>185</v>
      </c>
      <c r="C49" t="s">
        <v>133</v>
      </c>
      <c r="D49" t="s">
        <v>15</v>
      </c>
      <c r="E49" t="s">
        <v>42</v>
      </c>
      <c r="F49" t="s">
        <v>134</v>
      </c>
      <c r="G49" t="s">
        <v>156</v>
      </c>
      <c r="H49" t="s">
        <v>67</v>
      </c>
      <c r="I49" t="s">
        <v>27</v>
      </c>
      <c r="J49">
        <v>28</v>
      </c>
      <c r="K49">
        <v>95</v>
      </c>
      <c r="L49" t="s">
        <v>39</v>
      </c>
    </row>
    <row r="50" spans="1:12" x14ac:dyDescent="0.45">
      <c r="A50" t="s">
        <v>186</v>
      </c>
      <c r="B50" t="s">
        <v>187</v>
      </c>
      <c r="C50" t="s">
        <v>133</v>
      </c>
      <c r="D50" t="s">
        <v>15</v>
      </c>
      <c r="E50" t="s">
        <v>36</v>
      </c>
      <c r="F50" t="s">
        <v>134</v>
      </c>
      <c r="G50" t="s">
        <v>188</v>
      </c>
      <c r="H50" t="s">
        <v>19</v>
      </c>
      <c r="I50" t="s">
        <v>20</v>
      </c>
      <c r="J50">
        <v>9</v>
      </c>
      <c r="K50">
        <v>55</v>
      </c>
      <c r="L50" t="s">
        <v>39</v>
      </c>
    </row>
    <row r="51" spans="1:12" x14ac:dyDescent="0.45">
      <c r="A51" t="s">
        <v>189</v>
      </c>
      <c r="B51" t="s">
        <v>190</v>
      </c>
      <c r="C51" t="s">
        <v>133</v>
      </c>
      <c r="D51" t="s">
        <v>15</v>
      </c>
      <c r="E51" t="s">
        <v>36</v>
      </c>
      <c r="F51" t="s">
        <v>134</v>
      </c>
      <c r="G51" t="s">
        <v>191</v>
      </c>
      <c r="H51" t="s">
        <v>26</v>
      </c>
      <c r="I51" t="s">
        <v>55</v>
      </c>
      <c r="J51">
        <v>10</v>
      </c>
      <c r="K51">
        <v>45</v>
      </c>
      <c r="L51" t="s">
        <v>39</v>
      </c>
    </row>
    <row r="52" spans="1:12" x14ac:dyDescent="0.45">
      <c r="A52" t="s">
        <v>192</v>
      </c>
      <c r="B52" t="s">
        <v>193</v>
      </c>
      <c r="C52" t="s">
        <v>133</v>
      </c>
      <c r="D52" t="s">
        <v>15</v>
      </c>
      <c r="E52" t="s">
        <v>24</v>
      </c>
      <c r="F52" t="s">
        <v>134</v>
      </c>
      <c r="G52" t="s">
        <v>88</v>
      </c>
      <c r="H52" t="s">
        <v>26</v>
      </c>
      <c r="I52" t="s">
        <v>20</v>
      </c>
      <c r="J52">
        <v>24</v>
      </c>
      <c r="K52">
        <v>115</v>
      </c>
      <c r="L52" t="s">
        <v>21</v>
      </c>
    </row>
    <row r="53" spans="1:12" x14ac:dyDescent="0.45">
      <c r="A53" t="s">
        <v>194</v>
      </c>
      <c r="B53" t="s">
        <v>195</v>
      </c>
      <c r="C53" t="s">
        <v>133</v>
      </c>
      <c r="D53" t="s">
        <v>15</v>
      </c>
      <c r="E53" t="s">
        <v>36</v>
      </c>
      <c r="F53" t="s">
        <v>134</v>
      </c>
      <c r="G53" t="s">
        <v>196</v>
      </c>
      <c r="H53" t="s">
        <v>32</v>
      </c>
      <c r="I53" t="s">
        <v>20</v>
      </c>
      <c r="J53">
        <v>6</v>
      </c>
      <c r="K53">
        <v>85</v>
      </c>
      <c r="L53" t="s">
        <v>39</v>
      </c>
    </row>
    <row r="54" spans="1:12" x14ac:dyDescent="0.45">
      <c r="A54" t="s">
        <v>197</v>
      </c>
      <c r="B54" t="s">
        <v>198</v>
      </c>
      <c r="C54" t="s">
        <v>133</v>
      </c>
      <c r="D54" t="s">
        <v>15</v>
      </c>
      <c r="E54" t="s">
        <v>36</v>
      </c>
      <c r="F54" t="s">
        <v>134</v>
      </c>
      <c r="G54" t="s">
        <v>66</v>
      </c>
      <c r="H54" t="s">
        <v>67</v>
      </c>
      <c r="I54" t="s">
        <v>55</v>
      </c>
      <c r="J54">
        <v>10</v>
      </c>
      <c r="K54">
        <v>165</v>
      </c>
      <c r="L54" t="s">
        <v>39</v>
      </c>
    </row>
    <row r="55" spans="1:12" x14ac:dyDescent="0.45">
      <c r="A55" t="s">
        <v>199</v>
      </c>
      <c r="B55" t="s">
        <v>200</v>
      </c>
      <c r="C55" t="s">
        <v>133</v>
      </c>
      <c r="D55" t="s">
        <v>15</v>
      </c>
      <c r="E55" t="s">
        <v>36</v>
      </c>
      <c r="F55" t="s">
        <v>134</v>
      </c>
      <c r="G55" t="s">
        <v>77</v>
      </c>
      <c r="H55" t="s">
        <v>95</v>
      </c>
      <c r="I55" t="s">
        <v>55</v>
      </c>
      <c r="J55">
        <v>7</v>
      </c>
      <c r="K55">
        <v>725</v>
      </c>
      <c r="L55" t="s">
        <v>51</v>
      </c>
    </row>
    <row r="56" spans="1:12" x14ac:dyDescent="0.45">
      <c r="A56" t="s">
        <v>201</v>
      </c>
      <c r="B56" t="s">
        <v>202</v>
      </c>
      <c r="C56" t="s">
        <v>133</v>
      </c>
      <c r="D56" t="s">
        <v>15</v>
      </c>
      <c r="E56" t="s">
        <v>42</v>
      </c>
      <c r="F56" t="s">
        <v>134</v>
      </c>
      <c r="G56" t="s">
        <v>98</v>
      </c>
      <c r="H56" t="s">
        <v>19</v>
      </c>
      <c r="I56" t="s">
        <v>27</v>
      </c>
      <c r="J56">
        <v>24</v>
      </c>
      <c r="K56">
        <v>22</v>
      </c>
      <c r="L56" t="s">
        <v>145</v>
      </c>
    </row>
    <row r="57" spans="1:12" x14ac:dyDescent="0.45">
      <c r="A57" t="s">
        <v>203</v>
      </c>
      <c r="B57" t="s">
        <v>204</v>
      </c>
      <c r="C57" t="s">
        <v>133</v>
      </c>
      <c r="D57" t="s">
        <v>15</v>
      </c>
      <c r="E57" t="s">
        <v>36</v>
      </c>
      <c r="F57" t="s">
        <v>134</v>
      </c>
      <c r="G57" t="s">
        <v>205</v>
      </c>
      <c r="H57" t="s">
        <v>19</v>
      </c>
      <c r="I57" t="s">
        <v>55</v>
      </c>
      <c r="J57">
        <v>5</v>
      </c>
      <c r="K57">
        <v>245</v>
      </c>
      <c r="L57" t="s">
        <v>51</v>
      </c>
    </row>
    <row r="58" spans="1:12" x14ac:dyDescent="0.45">
      <c r="A58" t="s">
        <v>206</v>
      </c>
      <c r="B58" t="s">
        <v>207</v>
      </c>
      <c r="C58" t="s">
        <v>133</v>
      </c>
      <c r="D58" t="s">
        <v>15</v>
      </c>
      <c r="E58" t="s">
        <v>36</v>
      </c>
      <c r="F58" t="s">
        <v>134</v>
      </c>
      <c r="G58" t="s">
        <v>208</v>
      </c>
      <c r="H58" t="s">
        <v>62</v>
      </c>
      <c r="I58" t="s">
        <v>55</v>
      </c>
      <c r="J58">
        <v>5</v>
      </c>
      <c r="K58">
        <v>225</v>
      </c>
      <c r="L58" t="s">
        <v>39</v>
      </c>
    </row>
    <row r="59" spans="1:12" x14ac:dyDescent="0.45">
      <c r="A59" t="s">
        <v>209</v>
      </c>
      <c r="B59" t="s">
        <v>210</v>
      </c>
      <c r="C59" t="s">
        <v>133</v>
      </c>
      <c r="D59" t="s">
        <v>15</v>
      </c>
      <c r="E59" t="s">
        <v>42</v>
      </c>
      <c r="F59" t="s">
        <v>134</v>
      </c>
      <c r="G59" t="s">
        <v>211</v>
      </c>
      <c r="H59" t="s">
        <v>19</v>
      </c>
      <c r="I59" t="s">
        <v>27</v>
      </c>
      <c r="J59">
        <v>19</v>
      </c>
      <c r="K59">
        <v>285</v>
      </c>
      <c r="L59" t="s">
        <v>74</v>
      </c>
    </row>
    <row r="60" spans="1:12" x14ac:dyDescent="0.45">
      <c r="A60" t="s">
        <v>212</v>
      </c>
      <c r="B60" t="s">
        <v>213</v>
      </c>
      <c r="C60" t="s">
        <v>133</v>
      </c>
      <c r="D60" t="s">
        <v>15</v>
      </c>
      <c r="E60" t="s">
        <v>16</v>
      </c>
      <c r="F60" t="s">
        <v>134</v>
      </c>
      <c r="G60" t="s">
        <v>66</v>
      </c>
      <c r="H60" t="s">
        <v>67</v>
      </c>
      <c r="I60" t="s">
        <v>20</v>
      </c>
      <c r="J60">
        <v>14</v>
      </c>
      <c r="K60">
        <v>175</v>
      </c>
      <c r="L60" t="s">
        <v>214</v>
      </c>
    </row>
    <row r="61" spans="1:12" x14ac:dyDescent="0.45">
      <c r="A61" t="s">
        <v>215</v>
      </c>
      <c r="B61" t="s">
        <v>216</v>
      </c>
      <c r="C61" t="s">
        <v>133</v>
      </c>
      <c r="D61" t="s">
        <v>15</v>
      </c>
      <c r="E61" t="s">
        <v>16</v>
      </c>
      <c r="F61" t="s">
        <v>134</v>
      </c>
      <c r="G61" t="s">
        <v>217</v>
      </c>
      <c r="H61" t="s">
        <v>32</v>
      </c>
      <c r="I61" t="s">
        <v>20</v>
      </c>
      <c r="J61">
        <v>14</v>
      </c>
      <c r="K61">
        <v>75</v>
      </c>
      <c r="L61" t="s">
        <v>63</v>
      </c>
    </row>
    <row r="62" spans="1:12" x14ac:dyDescent="0.45">
      <c r="A62" t="s">
        <v>218</v>
      </c>
      <c r="B62" t="s">
        <v>219</v>
      </c>
      <c r="C62" t="s">
        <v>220</v>
      </c>
      <c r="D62" t="s">
        <v>15</v>
      </c>
      <c r="E62" t="s">
        <v>16</v>
      </c>
      <c r="F62" t="s">
        <v>221</v>
      </c>
      <c r="G62" t="s">
        <v>135</v>
      </c>
      <c r="H62" t="s">
        <v>19</v>
      </c>
      <c r="I62" t="s">
        <v>27</v>
      </c>
      <c r="J62">
        <v>27</v>
      </c>
      <c r="K62">
        <v>599</v>
      </c>
      <c r="L62" t="s">
        <v>222</v>
      </c>
    </row>
    <row r="63" spans="1:12" x14ac:dyDescent="0.45">
      <c r="A63" t="s">
        <v>223</v>
      </c>
      <c r="B63" t="s">
        <v>224</v>
      </c>
      <c r="C63" t="s">
        <v>220</v>
      </c>
      <c r="D63" t="s">
        <v>15</v>
      </c>
      <c r="E63" t="s">
        <v>24</v>
      </c>
      <c r="F63" t="s">
        <v>221</v>
      </c>
      <c r="G63" t="s">
        <v>81</v>
      </c>
      <c r="H63" t="s">
        <v>38</v>
      </c>
      <c r="I63" t="s">
        <v>20</v>
      </c>
      <c r="J63">
        <v>7</v>
      </c>
      <c r="K63">
        <v>399</v>
      </c>
      <c r="L63" t="s">
        <v>222</v>
      </c>
    </row>
    <row r="64" spans="1:12" x14ac:dyDescent="0.45">
      <c r="A64" t="s">
        <v>225</v>
      </c>
      <c r="B64" t="s">
        <v>226</v>
      </c>
      <c r="C64" t="s">
        <v>220</v>
      </c>
      <c r="D64" t="s">
        <v>15</v>
      </c>
      <c r="E64" t="s">
        <v>36</v>
      </c>
      <c r="F64" t="s">
        <v>221</v>
      </c>
      <c r="G64" t="s">
        <v>227</v>
      </c>
      <c r="H64" t="s">
        <v>62</v>
      </c>
      <c r="I64" t="s">
        <v>55</v>
      </c>
      <c r="J64">
        <v>6</v>
      </c>
      <c r="K64">
        <v>185</v>
      </c>
      <c r="L64" t="s">
        <v>39</v>
      </c>
    </row>
    <row r="65" spans="1:12" x14ac:dyDescent="0.45">
      <c r="A65" t="s">
        <v>228</v>
      </c>
      <c r="B65" t="s">
        <v>229</v>
      </c>
      <c r="C65" t="s">
        <v>220</v>
      </c>
      <c r="D65" t="s">
        <v>15</v>
      </c>
      <c r="E65" t="s">
        <v>36</v>
      </c>
      <c r="F65" t="s">
        <v>221</v>
      </c>
      <c r="G65" t="s">
        <v>230</v>
      </c>
      <c r="H65" t="s">
        <v>50</v>
      </c>
      <c r="I65" t="s">
        <v>55</v>
      </c>
      <c r="J65">
        <v>6</v>
      </c>
      <c r="K65">
        <v>145</v>
      </c>
      <c r="L65" t="s">
        <v>51</v>
      </c>
    </row>
    <row r="66" spans="1:12" x14ac:dyDescent="0.45">
      <c r="A66" t="s">
        <v>231</v>
      </c>
      <c r="B66" t="s">
        <v>232</v>
      </c>
      <c r="C66" t="s">
        <v>220</v>
      </c>
      <c r="D66" t="s">
        <v>15</v>
      </c>
      <c r="E66" t="s">
        <v>24</v>
      </c>
      <c r="F66" t="s">
        <v>221</v>
      </c>
      <c r="G66" t="s">
        <v>162</v>
      </c>
      <c r="H66" t="s">
        <v>38</v>
      </c>
      <c r="I66" t="s">
        <v>27</v>
      </c>
      <c r="J66">
        <v>11</v>
      </c>
      <c r="K66">
        <v>375</v>
      </c>
      <c r="L66" t="s">
        <v>78</v>
      </c>
    </row>
    <row r="67" spans="1:12" x14ac:dyDescent="0.45">
      <c r="A67" t="s">
        <v>233</v>
      </c>
      <c r="B67" t="s">
        <v>234</v>
      </c>
      <c r="C67" t="s">
        <v>220</v>
      </c>
      <c r="D67" t="s">
        <v>15</v>
      </c>
      <c r="E67" t="s">
        <v>24</v>
      </c>
      <c r="F67" t="s">
        <v>221</v>
      </c>
      <c r="G67" t="s">
        <v>104</v>
      </c>
      <c r="H67" t="s">
        <v>19</v>
      </c>
      <c r="I67" t="s">
        <v>20</v>
      </c>
      <c r="J67">
        <v>23</v>
      </c>
      <c r="K67">
        <v>650</v>
      </c>
      <c r="L67" t="s">
        <v>74</v>
      </c>
    </row>
    <row r="68" spans="1:12" x14ac:dyDescent="0.45">
      <c r="A68" t="s">
        <v>235</v>
      </c>
      <c r="B68" t="s">
        <v>236</v>
      </c>
      <c r="C68" t="s">
        <v>220</v>
      </c>
      <c r="D68" t="s">
        <v>15</v>
      </c>
      <c r="E68" t="s">
        <v>16</v>
      </c>
      <c r="F68" t="s">
        <v>221</v>
      </c>
      <c r="G68" t="s">
        <v>237</v>
      </c>
      <c r="H68" t="s">
        <v>38</v>
      </c>
      <c r="I68" t="s">
        <v>20</v>
      </c>
      <c r="J68">
        <v>18</v>
      </c>
      <c r="K68">
        <v>349</v>
      </c>
      <c r="L68" t="s">
        <v>136</v>
      </c>
    </row>
    <row r="69" spans="1:12" x14ac:dyDescent="0.45">
      <c r="A69" t="s">
        <v>238</v>
      </c>
      <c r="B69" t="s">
        <v>239</v>
      </c>
      <c r="C69" t="s">
        <v>220</v>
      </c>
      <c r="D69" t="s">
        <v>15</v>
      </c>
      <c r="E69" t="s">
        <v>42</v>
      </c>
      <c r="F69" t="s">
        <v>221</v>
      </c>
      <c r="G69" t="s">
        <v>240</v>
      </c>
      <c r="H69" t="s">
        <v>19</v>
      </c>
      <c r="I69" t="s">
        <v>27</v>
      </c>
      <c r="J69">
        <v>26</v>
      </c>
      <c r="K69">
        <v>495</v>
      </c>
      <c r="L69" t="s">
        <v>74</v>
      </c>
    </row>
    <row r="70" spans="1:12" x14ac:dyDescent="0.45">
      <c r="A70" t="s">
        <v>241</v>
      </c>
      <c r="B70" t="s">
        <v>242</v>
      </c>
      <c r="C70" t="s">
        <v>220</v>
      </c>
      <c r="D70" t="s">
        <v>15</v>
      </c>
      <c r="E70" t="s">
        <v>36</v>
      </c>
      <c r="F70" t="s">
        <v>221</v>
      </c>
      <c r="G70" t="s">
        <v>230</v>
      </c>
      <c r="H70" t="s">
        <v>38</v>
      </c>
      <c r="I70" t="s">
        <v>55</v>
      </c>
      <c r="J70">
        <v>7</v>
      </c>
      <c r="K70">
        <v>449</v>
      </c>
      <c r="L70" t="s">
        <v>39</v>
      </c>
    </row>
    <row r="71" spans="1:12" x14ac:dyDescent="0.45">
      <c r="A71" t="s">
        <v>243</v>
      </c>
      <c r="B71" t="s">
        <v>244</v>
      </c>
      <c r="C71" t="s">
        <v>220</v>
      </c>
      <c r="D71" t="s">
        <v>15</v>
      </c>
      <c r="E71" t="s">
        <v>42</v>
      </c>
      <c r="F71" t="s">
        <v>221</v>
      </c>
      <c r="G71" t="s">
        <v>245</v>
      </c>
      <c r="H71" t="s">
        <v>38</v>
      </c>
      <c r="I71" t="s">
        <v>27</v>
      </c>
      <c r="J71">
        <v>12</v>
      </c>
      <c r="K71">
        <v>399</v>
      </c>
      <c r="L71" t="s">
        <v>33</v>
      </c>
    </row>
    <row r="72" spans="1:12" x14ac:dyDescent="0.45">
      <c r="A72" t="s">
        <v>246</v>
      </c>
      <c r="B72" t="s">
        <v>247</v>
      </c>
      <c r="C72" t="s">
        <v>220</v>
      </c>
      <c r="D72" t="s">
        <v>15</v>
      </c>
      <c r="E72" t="s">
        <v>16</v>
      </c>
      <c r="F72" t="s">
        <v>221</v>
      </c>
      <c r="G72" t="s">
        <v>61</v>
      </c>
      <c r="H72" t="s">
        <v>32</v>
      </c>
      <c r="I72" t="s">
        <v>20</v>
      </c>
      <c r="J72">
        <v>16</v>
      </c>
      <c r="K72">
        <v>145</v>
      </c>
      <c r="L72" t="s">
        <v>51</v>
      </c>
    </row>
    <row r="73" spans="1:12" x14ac:dyDescent="0.45">
      <c r="A73" t="s">
        <v>248</v>
      </c>
      <c r="B73" t="s">
        <v>249</v>
      </c>
      <c r="C73" t="s">
        <v>220</v>
      </c>
      <c r="D73" t="s">
        <v>15</v>
      </c>
      <c r="E73" t="s">
        <v>36</v>
      </c>
      <c r="F73" t="s">
        <v>221</v>
      </c>
      <c r="G73" t="s">
        <v>191</v>
      </c>
      <c r="H73" t="s">
        <v>19</v>
      </c>
      <c r="I73" t="s">
        <v>55</v>
      </c>
      <c r="J73">
        <v>3</v>
      </c>
      <c r="K73">
        <v>175</v>
      </c>
      <c r="L73" t="s">
        <v>39</v>
      </c>
    </row>
    <row r="74" spans="1:12" x14ac:dyDescent="0.45">
      <c r="A74" t="s">
        <v>250</v>
      </c>
      <c r="B74" t="s">
        <v>251</v>
      </c>
      <c r="C74" t="s">
        <v>220</v>
      </c>
      <c r="D74" t="s">
        <v>15</v>
      </c>
      <c r="E74" t="s">
        <v>36</v>
      </c>
      <c r="F74" t="s">
        <v>221</v>
      </c>
      <c r="G74" t="s">
        <v>49</v>
      </c>
      <c r="H74" t="s">
        <v>95</v>
      </c>
      <c r="I74" t="s">
        <v>55</v>
      </c>
      <c r="J74">
        <v>6</v>
      </c>
      <c r="K74">
        <v>199</v>
      </c>
      <c r="L74" t="s">
        <v>51</v>
      </c>
    </row>
    <row r="75" spans="1:12" x14ac:dyDescent="0.45">
      <c r="A75" t="s">
        <v>252</v>
      </c>
      <c r="B75" t="s">
        <v>253</v>
      </c>
      <c r="C75" t="s">
        <v>220</v>
      </c>
      <c r="D75" t="s">
        <v>15</v>
      </c>
      <c r="E75" t="s">
        <v>16</v>
      </c>
      <c r="F75" t="s">
        <v>221</v>
      </c>
      <c r="G75" t="s">
        <v>217</v>
      </c>
      <c r="H75" t="s">
        <v>32</v>
      </c>
      <c r="I75" t="s">
        <v>27</v>
      </c>
      <c r="J75">
        <v>13</v>
      </c>
      <c r="K75">
        <v>140</v>
      </c>
      <c r="L75" t="s">
        <v>166</v>
      </c>
    </row>
    <row r="76" spans="1:12" x14ac:dyDescent="0.45">
      <c r="A76" t="s">
        <v>254</v>
      </c>
      <c r="B76" t="s">
        <v>255</v>
      </c>
      <c r="C76" t="s">
        <v>220</v>
      </c>
      <c r="D76" t="s">
        <v>15</v>
      </c>
      <c r="E76" t="s">
        <v>42</v>
      </c>
      <c r="F76" t="s">
        <v>221</v>
      </c>
      <c r="G76" t="s">
        <v>256</v>
      </c>
      <c r="H76" t="s">
        <v>67</v>
      </c>
      <c r="I76" t="s">
        <v>27</v>
      </c>
      <c r="J76">
        <v>10</v>
      </c>
      <c r="K76">
        <v>115</v>
      </c>
      <c r="L76" t="s">
        <v>145</v>
      </c>
    </row>
    <row r="77" spans="1:12" x14ac:dyDescent="0.45">
      <c r="A77" t="s">
        <v>257</v>
      </c>
      <c r="B77" t="s">
        <v>258</v>
      </c>
      <c r="C77" t="s">
        <v>220</v>
      </c>
      <c r="D77" t="s">
        <v>15</v>
      </c>
      <c r="E77" t="s">
        <v>36</v>
      </c>
      <c r="F77" t="s">
        <v>221</v>
      </c>
      <c r="G77" t="s">
        <v>259</v>
      </c>
      <c r="H77" t="s">
        <v>50</v>
      </c>
      <c r="I77" t="s">
        <v>55</v>
      </c>
      <c r="J77">
        <v>9</v>
      </c>
      <c r="K77">
        <v>295</v>
      </c>
      <c r="L77" t="s">
        <v>51</v>
      </c>
    </row>
    <row r="78" spans="1:12" x14ac:dyDescent="0.45">
      <c r="A78" t="s">
        <v>260</v>
      </c>
      <c r="B78" t="s">
        <v>261</v>
      </c>
      <c r="C78" t="s">
        <v>220</v>
      </c>
      <c r="D78" t="s">
        <v>15</v>
      </c>
      <c r="E78" t="s">
        <v>24</v>
      </c>
      <c r="F78" t="s">
        <v>221</v>
      </c>
      <c r="G78" t="s">
        <v>262</v>
      </c>
      <c r="H78" t="s">
        <v>32</v>
      </c>
      <c r="I78" t="s">
        <v>27</v>
      </c>
      <c r="J78">
        <v>13</v>
      </c>
      <c r="K78">
        <v>525</v>
      </c>
      <c r="L78" t="s">
        <v>39</v>
      </c>
    </row>
    <row r="79" spans="1:12" x14ac:dyDescent="0.45">
      <c r="A79" t="s">
        <v>263</v>
      </c>
      <c r="B79" t="s">
        <v>264</v>
      </c>
      <c r="C79" t="s">
        <v>220</v>
      </c>
      <c r="D79" t="s">
        <v>15</v>
      </c>
      <c r="E79" t="s">
        <v>42</v>
      </c>
      <c r="F79" t="s">
        <v>221</v>
      </c>
      <c r="G79" t="s">
        <v>61</v>
      </c>
      <c r="H79" t="s">
        <v>19</v>
      </c>
      <c r="I79" t="s">
        <v>27</v>
      </c>
      <c r="J79">
        <v>14</v>
      </c>
      <c r="K79">
        <v>1850</v>
      </c>
      <c r="L79" t="s">
        <v>136</v>
      </c>
    </row>
    <row r="80" spans="1:12" x14ac:dyDescent="0.45">
      <c r="A80" t="s">
        <v>265</v>
      </c>
      <c r="B80" t="s">
        <v>266</v>
      </c>
      <c r="C80" t="s">
        <v>220</v>
      </c>
      <c r="D80" t="s">
        <v>15</v>
      </c>
      <c r="E80" t="s">
        <v>36</v>
      </c>
      <c r="F80" t="s">
        <v>221</v>
      </c>
      <c r="G80" t="s">
        <v>125</v>
      </c>
      <c r="H80" t="s">
        <v>50</v>
      </c>
      <c r="I80" t="s">
        <v>55</v>
      </c>
      <c r="J80">
        <v>12</v>
      </c>
      <c r="K80">
        <v>995</v>
      </c>
      <c r="L80" t="s">
        <v>39</v>
      </c>
    </row>
    <row r="81" spans="1:12" x14ac:dyDescent="0.45">
      <c r="A81" t="s">
        <v>267</v>
      </c>
      <c r="B81" t="s">
        <v>268</v>
      </c>
      <c r="C81" t="s">
        <v>220</v>
      </c>
      <c r="D81" t="s">
        <v>15</v>
      </c>
      <c r="E81" t="s">
        <v>36</v>
      </c>
      <c r="F81" t="s">
        <v>221</v>
      </c>
      <c r="G81" t="s">
        <v>196</v>
      </c>
      <c r="H81" t="s">
        <v>19</v>
      </c>
      <c r="I81" t="s">
        <v>55</v>
      </c>
      <c r="J81">
        <v>10</v>
      </c>
      <c r="K81">
        <v>349</v>
      </c>
      <c r="L81" t="s">
        <v>39</v>
      </c>
    </row>
    <row r="82" spans="1:12" x14ac:dyDescent="0.45">
      <c r="A82" t="s">
        <v>269</v>
      </c>
      <c r="B82" t="s">
        <v>270</v>
      </c>
      <c r="C82" t="s">
        <v>220</v>
      </c>
      <c r="D82" t="s">
        <v>15</v>
      </c>
      <c r="E82" t="s">
        <v>36</v>
      </c>
      <c r="F82" t="s">
        <v>221</v>
      </c>
      <c r="G82" t="s">
        <v>271</v>
      </c>
      <c r="H82" t="s">
        <v>19</v>
      </c>
      <c r="I82" t="s">
        <v>55</v>
      </c>
      <c r="J82">
        <v>10</v>
      </c>
      <c r="K82">
        <v>299</v>
      </c>
      <c r="L82" t="s">
        <v>39</v>
      </c>
    </row>
    <row r="83" spans="1:12" x14ac:dyDescent="0.45">
      <c r="A83" t="s">
        <v>272</v>
      </c>
      <c r="B83" t="s">
        <v>273</v>
      </c>
      <c r="C83" t="s">
        <v>220</v>
      </c>
      <c r="D83" t="s">
        <v>15</v>
      </c>
      <c r="E83" t="s">
        <v>16</v>
      </c>
      <c r="F83" t="s">
        <v>221</v>
      </c>
      <c r="G83" t="s">
        <v>274</v>
      </c>
      <c r="H83" t="s">
        <v>32</v>
      </c>
      <c r="I83" t="s">
        <v>27</v>
      </c>
      <c r="J83">
        <v>16</v>
      </c>
      <c r="K83">
        <v>499</v>
      </c>
      <c r="L83" t="s">
        <v>145</v>
      </c>
    </row>
    <row r="84" spans="1:12" x14ac:dyDescent="0.45">
      <c r="A84" t="s">
        <v>275</v>
      </c>
      <c r="B84" t="s">
        <v>276</v>
      </c>
      <c r="C84" t="s">
        <v>220</v>
      </c>
      <c r="D84" t="s">
        <v>15</v>
      </c>
      <c r="E84" t="s">
        <v>42</v>
      </c>
      <c r="F84" t="s">
        <v>221</v>
      </c>
      <c r="G84" t="s">
        <v>259</v>
      </c>
      <c r="H84" t="s">
        <v>67</v>
      </c>
      <c r="I84" t="s">
        <v>27</v>
      </c>
      <c r="J84">
        <v>14</v>
      </c>
      <c r="K84">
        <v>249</v>
      </c>
      <c r="L84" t="s">
        <v>222</v>
      </c>
    </row>
    <row r="85" spans="1:12" x14ac:dyDescent="0.45">
      <c r="A85" t="s">
        <v>277</v>
      </c>
      <c r="B85" t="s">
        <v>278</v>
      </c>
      <c r="C85" t="s">
        <v>220</v>
      </c>
      <c r="D85" t="s">
        <v>15</v>
      </c>
      <c r="E85" t="s">
        <v>16</v>
      </c>
      <c r="F85" t="s">
        <v>221</v>
      </c>
      <c r="G85" t="s">
        <v>279</v>
      </c>
      <c r="H85" t="s">
        <v>38</v>
      </c>
      <c r="I85" t="s">
        <v>27</v>
      </c>
      <c r="J85">
        <v>25</v>
      </c>
      <c r="K85">
        <v>175</v>
      </c>
      <c r="L85" t="s">
        <v>51</v>
      </c>
    </row>
    <row r="86" spans="1:12" x14ac:dyDescent="0.45">
      <c r="A86" t="s">
        <v>280</v>
      </c>
      <c r="B86" t="s">
        <v>281</v>
      </c>
      <c r="C86" t="s">
        <v>220</v>
      </c>
      <c r="D86" t="s">
        <v>15</v>
      </c>
      <c r="E86" t="s">
        <v>16</v>
      </c>
      <c r="F86" t="s">
        <v>221</v>
      </c>
      <c r="G86" t="s">
        <v>271</v>
      </c>
      <c r="H86" t="s">
        <v>38</v>
      </c>
      <c r="I86" t="s">
        <v>27</v>
      </c>
      <c r="J86">
        <v>26</v>
      </c>
      <c r="K86">
        <v>99</v>
      </c>
      <c r="L86" t="s">
        <v>130</v>
      </c>
    </row>
    <row r="87" spans="1:12" x14ac:dyDescent="0.45">
      <c r="A87" t="s">
        <v>282</v>
      </c>
      <c r="B87" t="s">
        <v>283</v>
      </c>
      <c r="C87" t="s">
        <v>284</v>
      </c>
      <c r="D87" t="s">
        <v>15</v>
      </c>
      <c r="E87" t="s">
        <v>42</v>
      </c>
      <c r="F87" t="s">
        <v>17</v>
      </c>
      <c r="G87" t="s">
        <v>285</v>
      </c>
      <c r="H87" t="s">
        <v>19</v>
      </c>
      <c r="I87" t="s">
        <v>27</v>
      </c>
      <c r="J87">
        <v>30</v>
      </c>
      <c r="K87">
        <v>699</v>
      </c>
      <c r="L87" t="s">
        <v>39</v>
      </c>
    </row>
    <row r="88" spans="1:12" x14ac:dyDescent="0.45">
      <c r="A88" t="s">
        <v>286</v>
      </c>
      <c r="B88" t="s">
        <v>287</v>
      </c>
      <c r="C88" t="s">
        <v>284</v>
      </c>
      <c r="D88" t="s">
        <v>15</v>
      </c>
      <c r="E88" t="s">
        <v>16</v>
      </c>
      <c r="F88" t="s">
        <v>17</v>
      </c>
      <c r="G88" t="s">
        <v>114</v>
      </c>
      <c r="H88" t="s">
        <v>95</v>
      </c>
      <c r="I88" t="s">
        <v>27</v>
      </c>
      <c r="J88">
        <v>15</v>
      </c>
      <c r="K88">
        <v>399</v>
      </c>
      <c r="L88" t="s">
        <v>214</v>
      </c>
    </row>
    <row r="89" spans="1:12" x14ac:dyDescent="0.45">
      <c r="A89" t="s">
        <v>288</v>
      </c>
      <c r="B89" t="s">
        <v>289</v>
      </c>
      <c r="C89" t="s">
        <v>284</v>
      </c>
      <c r="D89" t="s">
        <v>15</v>
      </c>
      <c r="E89" t="s">
        <v>36</v>
      </c>
      <c r="F89" t="s">
        <v>17</v>
      </c>
      <c r="G89" t="s">
        <v>290</v>
      </c>
      <c r="H89" t="s">
        <v>19</v>
      </c>
      <c r="I89" t="s">
        <v>20</v>
      </c>
      <c r="J89">
        <v>4</v>
      </c>
      <c r="K89">
        <v>299</v>
      </c>
      <c r="L89" t="s">
        <v>39</v>
      </c>
    </row>
    <row r="90" spans="1:12" x14ac:dyDescent="0.45">
      <c r="A90" t="s">
        <v>291</v>
      </c>
      <c r="B90" t="s">
        <v>292</v>
      </c>
      <c r="C90" t="s">
        <v>284</v>
      </c>
      <c r="D90" t="s">
        <v>15</v>
      </c>
      <c r="E90" t="s">
        <v>24</v>
      </c>
      <c r="F90" t="s">
        <v>17</v>
      </c>
      <c r="G90" t="s">
        <v>217</v>
      </c>
      <c r="H90" t="s">
        <v>26</v>
      </c>
      <c r="I90" t="s">
        <v>20</v>
      </c>
      <c r="J90">
        <v>4</v>
      </c>
      <c r="K90">
        <v>450</v>
      </c>
      <c r="L90" t="s">
        <v>74</v>
      </c>
    </row>
    <row r="91" spans="1:12" x14ac:dyDescent="0.45">
      <c r="A91" t="s">
        <v>293</v>
      </c>
      <c r="B91" t="s">
        <v>294</v>
      </c>
      <c r="C91" t="s">
        <v>284</v>
      </c>
      <c r="D91" t="s">
        <v>15</v>
      </c>
      <c r="E91" t="s">
        <v>42</v>
      </c>
      <c r="F91" t="s">
        <v>17</v>
      </c>
      <c r="G91" t="s">
        <v>295</v>
      </c>
      <c r="H91" t="s">
        <v>62</v>
      </c>
      <c r="I91" t="s">
        <v>27</v>
      </c>
      <c r="J91">
        <v>23</v>
      </c>
      <c r="K91">
        <v>349</v>
      </c>
      <c r="L91" t="s">
        <v>119</v>
      </c>
    </row>
    <row r="92" spans="1:12" x14ac:dyDescent="0.45">
      <c r="A92" t="s">
        <v>296</v>
      </c>
      <c r="B92" t="s">
        <v>297</v>
      </c>
      <c r="C92" t="s">
        <v>284</v>
      </c>
      <c r="D92" t="s">
        <v>15</v>
      </c>
      <c r="E92" t="s">
        <v>36</v>
      </c>
      <c r="F92" t="s">
        <v>17</v>
      </c>
      <c r="G92" t="s">
        <v>279</v>
      </c>
      <c r="H92" t="s">
        <v>32</v>
      </c>
      <c r="I92" t="s">
        <v>20</v>
      </c>
      <c r="J92">
        <v>4</v>
      </c>
      <c r="K92">
        <v>275</v>
      </c>
      <c r="L92" t="s">
        <v>51</v>
      </c>
    </row>
    <row r="93" spans="1:12" x14ac:dyDescent="0.45">
      <c r="A93" t="s">
        <v>298</v>
      </c>
      <c r="B93" t="s">
        <v>299</v>
      </c>
      <c r="C93" t="s">
        <v>284</v>
      </c>
      <c r="D93" t="s">
        <v>15</v>
      </c>
      <c r="E93" t="s">
        <v>36</v>
      </c>
      <c r="F93" t="s">
        <v>17</v>
      </c>
      <c r="G93" t="s">
        <v>54</v>
      </c>
      <c r="H93" t="s">
        <v>26</v>
      </c>
      <c r="I93" t="s">
        <v>55</v>
      </c>
      <c r="J93">
        <v>7</v>
      </c>
      <c r="K93">
        <v>599</v>
      </c>
      <c r="L93" t="s">
        <v>51</v>
      </c>
    </row>
    <row r="94" spans="1:12" x14ac:dyDescent="0.45">
      <c r="A94" t="s">
        <v>300</v>
      </c>
      <c r="B94" t="s">
        <v>301</v>
      </c>
      <c r="C94" t="s">
        <v>284</v>
      </c>
      <c r="D94" t="s">
        <v>15</v>
      </c>
      <c r="E94" t="s">
        <v>42</v>
      </c>
      <c r="F94" t="s">
        <v>17</v>
      </c>
      <c r="G94" t="s">
        <v>259</v>
      </c>
      <c r="H94" t="s">
        <v>50</v>
      </c>
      <c r="I94" t="s">
        <v>27</v>
      </c>
      <c r="J94">
        <v>13</v>
      </c>
      <c r="K94">
        <v>399</v>
      </c>
      <c r="L94" t="s">
        <v>136</v>
      </c>
    </row>
    <row r="95" spans="1:12" x14ac:dyDescent="0.45">
      <c r="A95" t="s">
        <v>302</v>
      </c>
      <c r="B95" t="s">
        <v>303</v>
      </c>
      <c r="C95" t="s">
        <v>284</v>
      </c>
      <c r="D95" t="s">
        <v>15</v>
      </c>
      <c r="E95" t="s">
        <v>36</v>
      </c>
      <c r="F95" t="s">
        <v>17</v>
      </c>
      <c r="G95" t="s">
        <v>304</v>
      </c>
      <c r="H95" t="s">
        <v>50</v>
      </c>
      <c r="I95" t="s">
        <v>20</v>
      </c>
      <c r="J95">
        <v>8</v>
      </c>
      <c r="K95">
        <v>325</v>
      </c>
      <c r="L95" t="s">
        <v>51</v>
      </c>
    </row>
    <row r="96" spans="1:12" x14ac:dyDescent="0.45">
      <c r="A96" t="s">
        <v>305</v>
      </c>
      <c r="B96" t="s">
        <v>306</v>
      </c>
      <c r="C96" t="s">
        <v>284</v>
      </c>
      <c r="D96" t="s">
        <v>15</v>
      </c>
      <c r="E96" t="s">
        <v>24</v>
      </c>
      <c r="F96" t="s">
        <v>17</v>
      </c>
      <c r="G96" t="s">
        <v>307</v>
      </c>
      <c r="H96" t="s">
        <v>50</v>
      </c>
      <c r="I96" t="s">
        <v>27</v>
      </c>
      <c r="J96">
        <v>12</v>
      </c>
      <c r="K96">
        <v>899</v>
      </c>
      <c r="L96" t="s">
        <v>28</v>
      </c>
    </row>
    <row r="97" spans="1:12" x14ac:dyDescent="0.45">
      <c r="A97" t="s">
        <v>308</v>
      </c>
      <c r="B97" t="s">
        <v>309</v>
      </c>
      <c r="C97" t="s">
        <v>310</v>
      </c>
      <c r="D97" t="s">
        <v>15</v>
      </c>
      <c r="E97" t="s">
        <v>36</v>
      </c>
      <c r="F97" t="s">
        <v>17</v>
      </c>
      <c r="G97" t="s">
        <v>98</v>
      </c>
      <c r="H97" t="s">
        <v>62</v>
      </c>
      <c r="I97" t="s">
        <v>55</v>
      </c>
      <c r="J97">
        <v>10</v>
      </c>
      <c r="K97">
        <v>2150</v>
      </c>
      <c r="L97" t="s">
        <v>39</v>
      </c>
    </row>
    <row r="98" spans="1:12" x14ac:dyDescent="0.45">
      <c r="A98" t="s">
        <v>311</v>
      </c>
      <c r="B98" t="s">
        <v>312</v>
      </c>
      <c r="C98" t="s">
        <v>310</v>
      </c>
      <c r="D98" t="s">
        <v>15</v>
      </c>
      <c r="E98" t="s">
        <v>36</v>
      </c>
      <c r="F98" t="s">
        <v>17</v>
      </c>
      <c r="G98" t="s">
        <v>172</v>
      </c>
      <c r="H98" t="s">
        <v>95</v>
      </c>
      <c r="I98" t="s">
        <v>20</v>
      </c>
      <c r="J98">
        <v>6</v>
      </c>
      <c r="K98">
        <v>1299</v>
      </c>
      <c r="L98" t="s">
        <v>51</v>
      </c>
    </row>
    <row r="99" spans="1:12" x14ac:dyDescent="0.45">
      <c r="A99" t="s">
        <v>313</v>
      </c>
      <c r="B99" t="s">
        <v>314</v>
      </c>
      <c r="C99" t="s">
        <v>310</v>
      </c>
      <c r="D99" t="s">
        <v>15</v>
      </c>
      <c r="E99" t="s">
        <v>24</v>
      </c>
      <c r="F99" t="s">
        <v>17</v>
      </c>
      <c r="G99" t="s">
        <v>84</v>
      </c>
      <c r="H99" t="s">
        <v>62</v>
      </c>
      <c r="I99" t="s">
        <v>27</v>
      </c>
      <c r="J99">
        <v>16</v>
      </c>
      <c r="K99">
        <v>2599</v>
      </c>
      <c r="L99" t="s">
        <v>21</v>
      </c>
    </row>
    <row r="100" spans="1:12" x14ac:dyDescent="0.45">
      <c r="A100" t="s">
        <v>315</v>
      </c>
      <c r="B100" t="s">
        <v>316</v>
      </c>
      <c r="C100" t="s">
        <v>310</v>
      </c>
      <c r="D100" t="s">
        <v>15</v>
      </c>
      <c r="E100" t="s">
        <v>36</v>
      </c>
      <c r="F100" t="s">
        <v>17</v>
      </c>
      <c r="G100" t="s">
        <v>317</v>
      </c>
      <c r="H100" t="s">
        <v>95</v>
      </c>
      <c r="I100" t="s">
        <v>55</v>
      </c>
      <c r="J100">
        <v>4</v>
      </c>
      <c r="K100">
        <v>1799</v>
      </c>
      <c r="L100" t="s">
        <v>51</v>
      </c>
    </row>
    <row r="101" spans="1:12" x14ac:dyDescent="0.45">
      <c r="A101" t="s">
        <v>318</v>
      </c>
      <c r="B101" t="s">
        <v>319</v>
      </c>
      <c r="C101" t="s">
        <v>310</v>
      </c>
      <c r="D101" t="s">
        <v>15</v>
      </c>
      <c r="E101" t="s">
        <v>36</v>
      </c>
      <c r="F101" t="s">
        <v>17</v>
      </c>
      <c r="G101" t="s">
        <v>320</v>
      </c>
      <c r="H101" t="s">
        <v>50</v>
      </c>
      <c r="I101" t="s">
        <v>55</v>
      </c>
      <c r="J101">
        <v>8</v>
      </c>
      <c r="K101">
        <v>649</v>
      </c>
      <c r="L101" t="s">
        <v>39</v>
      </c>
    </row>
    <row r="102" spans="1:12" x14ac:dyDescent="0.45">
      <c r="A102" t="s">
        <v>321</v>
      </c>
      <c r="B102" t="s">
        <v>322</v>
      </c>
      <c r="C102" t="s">
        <v>310</v>
      </c>
      <c r="D102" t="s">
        <v>15</v>
      </c>
      <c r="E102" t="s">
        <v>16</v>
      </c>
      <c r="F102" t="s">
        <v>17</v>
      </c>
      <c r="G102" t="s">
        <v>172</v>
      </c>
      <c r="H102" t="s">
        <v>26</v>
      </c>
      <c r="I102" t="s">
        <v>20</v>
      </c>
      <c r="J102">
        <v>24</v>
      </c>
      <c r="K102">
        <v>799</v>
      </c>
      <c r="L102" t="s">
        <v>39</v>
      </c>
    </row>
    <row r="103" spans="1:12" x14ac:dyDescent="0.45">
      <c r="A103" t="s">
        <v>323</v>
      </c>
      <c r="B103" t="s">
        <v>324</v>
      </c>
      <c r="C103" t="s">
        <v>310</v>
      </c>
      <c r="D103" t="s">
        <v>15</v>
      </c>
      <c r="E103" t="s">
        <v>36</v>
      </c>
      <c r="F103" t="s">
        <v>17</v>
      </c>
      <c r="G103" t="s">
        <v>325</v>
      </c>
      <c r="H103" t="s">
        <v>26</v>
      </c>
      <c r="I103" t="s">
        <v>55</v>
      </c>
      <c r="J103">
        <v>9</v>
      </c>
      <c r="K103">
        <v>1899</v>
      </c>
      <c r="L103" t="s">
        <v>51</v>
      </c>
    </row>
    <row r="104" spans="1:12" x14ac:dyDescent="0.45">
      <c r="A104" t="s">
        <v>326</v>
      </c>
      <c r="B104" t="s">
        <v>327</v>
      </c>
      <c r="C104" t="s">
        <v>310</v>
      </c>
      <c r="D104" t="s">
        <v>15</v>
      </c>
      <c r="E104" t="s">
        <v>16</v>
      </c>
      <c r="F104" t="s">
        <v>17</v>
      </c>
      <c r="G104" t="s">
        <v>274</v>
      </c>
      <c r="H104" t="s">
        <v>62</v>
      </c>
      <c r="I104" t="s">
        <v>20</v>
      </c>
      <c r="J104">
        <v>14</v>
      </c>
      <c r="K104">
        <v>699</v>
      </c>
      <c r="L104" t="s">
        <v>105</v>
      </c>
    </row>
    <row r="105" spans="1:12" x14ac:dyDescent="0.45">
      <c r="A105" t="s">
        <v>328</v>
      </c>
      <c r="B105" t="s">
        <v>329</v>
      </c>
      <c r="C105" t="s">
        <v>310</v>
      </c>
      <c r="D105" t="s">
        <v>15</v>
      </c>
      <c r="E105" t="s">
        <v>36</v>
      </c>
      <c r="F105" t="s">
        <v>17</v>
      </c>
      <c r="G105" t="s">
        <v>177</v>
      </c>
      <c r="H105" t="s">
        <v>19</v>
      </c>
      <c r="I105" t="s">
        <v>20</v>
      </c>
      <c r="J105">
        <v>3</v>
      </c>
      <c r="K105">
        <v>4999</v>
      </c>
      <c r="L105" t="s">
        <v>51</v>
      </c>
    </row>
    <row r="106" spans="1:12" x14ac:dyDescent="0.45">
      <c r="A106" t="s">
        <v>330</v>
      </c>
      <c r="B106" t="s">
        <v>331</v>
      </c>
      <c r="C106" t="s">
        <v>310</v>
      </c>
      <c r="D106" t="s">
        <v>15</v>
      </c>
      <c r="E106" t="s">
        <v>24</v>
      </c>
      <c r="F106" t="s">
        <v>17</v>
      </c>
      <c r="G106" t="s">
        <v>332</v>
      </c>
      <c r="H106" t="s">
        <v>32</v>
      </c>
      <c r="I106" t="s">
        <v>20</v>
      </c>
      <c r="J106">
        <v>16</v>
      </c>
      <c r="K106">
        <v>1199</v>
      </c>
      <c r="L106" t="s">
        <v>130</v>
      </c>
    </row>
    <row r="107" spans="1:12" x14ac:dyDescent="0.45">
      <c r="A107" t="s">
        <v>333</v>
      </c>
      <c r="B107" t="s">
        <v>334</v>
      </c>
      <c r="C107" t="s">
        <v>310</v>
      </c>
      <c r="D107" t="s">
        <v>15</v>
      </c>
      <c r="E107" t="s">
        <v>42</v>
      </c>
      <c r="F107" t="s">
        <v>17</v>
      </c>
      <c r="G107" t="s">
        <v>335</v>
      </c>
      <c r="H107" t="s">
        <v>38</v>
      </c>
      <c r="I107" t="s">
        <v>27</v>
      </c>
      <c r="J107">
        <v>27</v>
      </c>
      <c r="K107">
        <v>2399</v>
      </c>
      <c r="L107" t="s">
        <v>119</v>
      </c>
    </row>
    <row r="108" spans="1:12" x14ac:dyDescent="0.45">
      <c r="A108" t="s">
        <v>336</v>
      </c>
      <c r="B108" t="s">
        <v>337</v>
      </c>
      <c r="C108" t="s">
        <v>310</v>
      </c>
      <c r="D108" t="s">
        <v>15</v>
      </c>
      <c r="E108" t="s">
        <v>42</v>
      </c>
      <c r="F108" t="s">
        <v>17</v>
      </c>
      <c r="G108" t="s">
        <v>338</v>
      </c>
      <c r="H108" t="s">
        <v>19</v>
      </c>
      <c r="I108" t="s">
        <v>27</v>
      </c>
      <c r="J108">
        <v>30</v>
      </c>
      <c r="K108">
        <v>2799</v>
      </c>
      <c r="L108" t="s">
        <v>136</v>
      </c>
    </row>
    <row r="109" spans="1:12" x14ac:dyDescent="0.45">
      <c r="A109" t="s">
        <v>339</v>
      </c>
      <c r="B109" t="s">
        <v>340</v>
      </c>
      <c r="C109" t="s">
        <v>310</v>
      </c>
      <c r="D109" t="s">
        <v>15</v>
      </c>
      <c r="E109" t="s">
        <v>36</v>
      </c>
      <c r="F109" t="s">
        <v>17</v>
      </c>
      <c r="G109" t="s">
        <v>114</v>
      </c>
      <c r="H109" t="s">
        <v>19</v>
      </c>
      <c r="I109" t="s">
        <v>20</v>
      </c>
      <c r="J109">
        <v>9</v>
      </c>
      <c r="K109">
        <v>399</v>
      </c>
      <c r="L109" t="s">
        <v>39</v>
      </c>
    </row>
    <row r="110" spans="1:12" x14ac:dyDescent="0.45">
      <c r="A110" t="s">
        <v>341</v>
      </c>
      <c r="B110" t="s">
        <v>342</v>
      </c>
      <c r="C110" t="s">
        <v>310</v>
      </c>
      <c r="D110" t="s">
        <v>15</v>
      </c>
      <c r="E110" t="s">
        <v>42</v>
      </c>
      <c r="F110" t="s">
        <v>17</v>
      </c>
      <c r="G110" t="s">
        <v>129</v>
      </c>
      <c r="H110" t="s">
        <v>26</v>
      </c>
      <c r="I110" t="s">
        <v>27</v>
      </c>
      <c r="J110">
        <v>23</v>
      </c>
      <c r="K110">
        <v>1699</v>
      </c>
      <c r="L110" t="s">
        <v>105</v>
      </c>
    </row>
    <row r="111" spans="1:12" x14ac:dyDescent="0.45">
      <c r="A111" t="s">
        <v>343</v>
      </c>
      <c r="B111" t="s">
        <v>344</v>
      </c>
      <c r="C111" t="s">
        <v>310</v>
      </c>
      <c r="D111" t="s">
        <v>15</v>
      </c>
      <c r="E111" t="s">
        <v>24</v>
      </c>
      <c r="F111" t="s">
        <v>17</v>
      </c>
      <c r="G111" t="s">
        <v>345</v>
      </c>
      <c r="H111" t="s">
        <v>62</v>
      </c>
      <c r="I111" t="s">
        <v>27</v>
      </c>
      <c r="J111">
        <v>22</v>
      </c>
      <c r="K111">
        <v>899</v>
      </c>
      <c r="L111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6"/>
  <sheetViews>
    <sheetView zoomScaleNormal="100" workbookViewId="0"/>
  </sheetViews>
  <sheetFormatPr defaultColWidth="8.6640625" defaultRowHeight="14.25" x14ac:dyDescent="0.45"/>
  <cols>
    <col min="1" max="1" width="12" customWidth="1"/>
    <col min="2" max="2" width="40" customWidth="1"/>
    <col min="3" max="3" width="20" customWidth="1"/>
    <col min="4" max="4" width="18" customWidth="1"/>
    <col min="5" max="5" width="22" customWidth="1"/>
    <col min="6" max="6" width="20" customWidth="1"/>
    <col min="7" max="7" width="15" customWidth="1"/>
    <col min="8" max="8" width="18" customWidth="1"/>
    <col min="9" max="9" width="12" customWidth="1"/>
    <col min="10" max="11" width="15" customWidth="1"/>
    <col min="12" max="12" width="45" customWidth="1"/>
  </cols>
  <sheetData>
    <row r="1" spans="1:12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x14ac:dyDescent="0.45">
      <c r="A2" t="s">
        <v>346</v>
      </c>
      <c r="B2" t="s">
        <v>347</v>
      </c>
      <c r="C2" t="s">
        <v>14</v>
      </c>
      <c r="D2" t="s">
        <v>348</v>
      </c>
      <c r="E2" t="s">
        <v>16</v>
      </c>
      <c r="F2" t="s">
        <v>349</v>
      </c>
      <c r="G2" t="s">
        <v>350</v>
      </c>
      <c r="H2" t="s">
        <v>67</v>
      </c>
      <c r="I2" t="s">
        <v>20</v>
      </c>
      <c r="J2">
        <v>23</v>
      </c>
      <c r="K2">
        <v>134900</v>
      </c>
      <c r="L2" t="s">
        <v>119</v>
      </c>
    </row>
    <row r="3" spans="1:12" x14ac:dyDescent="0.45">
      <c r="A3" t="s">
        <v>351</v>
      </c>
      <c r="B3" t="s">
        <v>352</v>
      </c>
      <c r="C3" t="s">
        <v>14</v>
      </c>
      <c r="D3" t="s">
        <v>348</v>
      </c>
      <c r="E3" t="s">
        <v>16</v>
      </c>
      <c r="F3" t="s">
        <v>349</v>
      </c>
      <c r="G3" t="s">
        <v>191</v>
      </c>
      <c r="H3" t="s">
        <v>95</v>
      </c>
      <c r="I3" t="s">
        <v>27</v>
      </c>
      <c r="J3">
        <v>29</v>
      </c>
      <c r="K3">
        <v>69900</v>
      </c>
      <c r="L3" t="s">
        <v>78</v>
      </c>
    </row>
    <row r="4" spans="1:12" x14ac:dyDescent="0.45">
      <c r="A4" t="s">
        <v>353</v>
      </c>
      <c r="B4" t="s">
        <v>354</v>
      </c>
      <c r="C4" t="s">
        <v>14</v>
      </c>
      <c r="D4" t="s">
        <v>348</v>
      </c>
      <c r="E4" t="s">
        <v>36</v>
      </c>
      <c r="F4" t="s">
        <v>349</v>
      </c>
      <c r="G4" t="s">
        <v>230</v>
      </c>
      <c r="H4" t="s">
        <v>50</v>
      </c>
      <c r="I4" t="s">
        <v>55</v>
      </c>
      <c r="J4">
        <v>7</v>
      </c>
      <c r="K4">
        <v>26900</v>
      </c>
      <c r="L4" t="s">
        <v>39</v>
      </c>
    </row>
    <row r="5" spans="1:12" x14ac:dyDescent="0.45">
      <c r="A5" t="s">
        <v>355</v>
      </c>
      <c r="B5" t="s">
        <v>356</v>
      </c>
      <c r="C5" t="s">
        <v>14</v>
      </c>
      <c r="D5" t="s">
        <v>348</v>
      </c>
      <c r="E5" t="s">
        <v>42</v>
      </c>
      <c r="F5" t="s">
        <v>349</v>
      </c>
      <c r="G5" t="s">
        <v>357</v>
      </c>
      <c r="H5" t="s">
        <v>26</v>
      </c>
      <c r="I5" t="s">
        <v>27</v>
      </c>
      <c r="J5">
        <v>30</v>
      </c>
      <c r="K5">
        <v>41900</v>
      </c>
      <c r="L5" t="s">
        <v>74</v>
      </c>
    </row>
    <row r="6" spans="1:12" x14ac:dyDescent="0.45">
      <c r="A6" t="s">
        <v>358</v>
      </c>
      <c r="B6" t="s">
        <v>359</v>
      </c>
      <c r="C6" t="s">
        <v>14</v>
      </c>
      <c r="D6" t="s">
        <v>360</v>
      </c>
      <c r="E6" t="s">
        <v>16</v>
      </c>
      <c r="F6" t="s">
        <v>349</v>
      </c>
      <c r="G6" t="s">
        <v>114</v>
      </c>
      <c r="H6" t="s">
        <v>95</v>
      </c>
      <c r="I6" t="s">
        <v>20</v>
      </c>
      <c r="J6">
        <v>21</v>
      </c>
      <c r="K6">
        <v>129999</v>
      </c>
      <c r="L6" t="s">
        <v>361</v>
      </c>
    </row>
    <row r="7" spans="1:12" x14ac:dyDescent="0.45">
      <c r="A7" t="s">
        <v>362</v>
      </c>
      <c r="B7" t="s">
        <v>363</v>
      </c>
      <c r="C7" t="s">
        <v>14</v>
      </c>
      <c r="D7" t="s">
        <v>360</v>
      </c>
      <c r="E7" t="s">
        <v>36</v>
      </c>
      <c r="F7" t="s">
        <v>349</v>
      </c>
      <c r="G7" t="s">
        <v>256</v>
      </c>
      <c r="H7" t="s">
        <v>19</v>
      </c>
      <c r="I7" t="s">
        <v>20</v>
      </c>
      <c r="J7">
        <v>8</v>
      </c>
      <c r="K7">
        <v>59999</v>
      </c>
      <c r="L7" t="s">
        <v>51</v>
      </c>
    </row>
    <row r="8" spans="1:12" x14ac:dyDescent="0.45">
      <c r="A8" t="s">
        <v>364</v>
      </c>
      <c r="B8" t="s">
        <v>365</v>
      </c>
      <c r="C8" t="s">
        <v>14</v>
      </c>
      <c r="D8" t="s">
        <v>360</v>
      </c>
      <c r="E8" t="s">
        <v>24</v>
      </c>
      <c r="F8" t="s">
        <v>349</v>
      </c>
      <c r="G8" t="s">
        <v>357</v>
      </c>
      <c r="H8" t="s">
        <v>26</v>
      </c>
      <c r="I8" t="s">
        <v>27</v>
      </c>
      <c r="J8">
        <v>13</v>
      </c>
      <c r="K8">
        <v>17999</v>
      </c>
      <c r="L8" t="s">
        <v>222</v>
      </c>
    </row>
    <row r="9" spans="1:12" x14ac:dyDescent="0.45">
      <c r="A9" t="s">
        <v>366</v>
      </c>
      <c r="B9" t="s">
        <v>367</v>
      </c>
      <c r="C9" t="s">
        <v>14</v>
      </c>
      <c r="D9" t="s">
        <v>360</v>
      </c>
      <c r="E9" t="s">
        <v>36</v>
      </c>
      <c r="F9" t="s">
        <v>349</v>
      </c>
      <c r="G9" t="s">
        <v>101</v>
      </c>
      <c r="H9" t="s">
        <v>50</v>
      </c>
      <c r="I9" t="s">
        <v>20</v>
      </c>
      <c r="J9">
        <v>6</v>
      </c>
      <c r="K9">
        <v>32999</v>
      </c>
      <c r="L9" t="s">
        <v>51</v>
      </c>
    </row>
    <row r="10" spans="1:12" x14ac:dyDescent="0.45">
      <c r="A10" t="s">
        <v>368</v>
      </c>
      <c r="B10" t="s">
        <v>369</v>
      </c>
      <c r="C10" t="s">
        <v>14</v>
      </c>
      <c r="D10" t="s">
        <v>370</v>
      </c>
      <c r="E10" t="s">
        <v>24</v>
      </c>
      <c r="F10" t="s">
        <v>371</v>
      </c>
      <c r="G10" t="s">
        <v>372</v>
      </c>
      <c r="H10" t="s">
        <v>19</v>
      </c>
      <c r="I10" t="s">
        <v>27</v>
      </c>
      <c r="J10">
        <v>4</v>
      </c>
      <c r="K10">
        <v>29990</v>
      </c>
      <c r="L10" t="s">
        <v>21</v>
      </c>
    </row>
    <row r="11" spans="1:12" x14ac:dyDescent="0.45">
      <c r="A11" t="s">
        <v>373</v>
      </c>
      <c r="B11" t="s">
        <v>374</v>
      </c>
      <c r="C11" t="s">
        <v>14</v>
      </c>
      <c r="D11" t="s">
        <v>370</v>
      </c>
      <c r="E11" t="s">
        <v>36</v>
      </c>
      <c r="F11" t="s">
        <v>371</v>
      </c>
      <c r="G11" t="s">
        <v>375</v>
      </c>
      <c r="H11" t="s">
        <v>32</v>
      </c>
      <c r="I11" t="s">
        <v>55</v>
      </c>
      <c r="J11">
        <v>5</v>
      </c>
      <c r="K11">
        <v>54990</v>
      </c>
      <c r="L11" t="s">
        <v>39</v>
      </c>
    </row>
    <row r="12" spans="1:12" x14ac:dyDescent="0.45">
      <c r="A12" t="s">
        <v>376</v>
      </c>
      <c r="B12" t="s">
        <v>377</v>
      </c>
      <c r="C12" t="s">
        <v>14</v>
      </c>
      <c r="D12" t="s">
        <v>370</v>
      </c>
      <c r="E12" t="s">
        <v>36</v>
      </c>
      <c r="F12" t="s">
        <v>371</v>
      </c>
      <c r="G12" t="s">
        <v>378</v>
      </c>
      <c r="H12" t="s">
        <v>32</v>
      </c>
      <c r="I12" t="s">
        <v>20</v>
      </c>
      <c r="J12">
        <v>7</v>
      </c>
      <c r="K12">
        <v>79990</v>
      </c>
      <c r="L12" t="s">
        <v>39</v>
      </c>
    </row>
    <row r="13" spans="1:12" x14ac:dyDescent="0.45">
      <c r="A13" t="s">
        <v>379</v>
      </c>
      <c r="B13" t="s">
        <v>380</v>
      </c>
      <c r="C13" t="s">
        <v>14</v>
      </c>
      <c r="D13" t="s">
        <v>348</v>
      </c>
      <c r="E13" t="s">
        <v>42</v>
      </c>
      <c r="F13" t="s">
        <v>349</v>
      </c>
      <c r="G13" t="s">
        <v>378</v>
      </c>
      <c r="H13" t="s">
        <v>26</v>
      </c>
      <c r="I13" t="s">
        <v>27</v>
      </c>
      <c r="J13">
        <v>22</v>
      </c>
      <c r="K13">
        <v>94990</v>
      </c>
      <c r="L13" t="s">
        <v>222</v>
      </c>
    </row>
    <row r="14" spans="1:12" x14ac:dyDescent="0.45">
      <c r="A14" t="s">
        <v>381</v>
      </c>
      <c r="B14" t="s">
        <v>382</v>
      </c>
      <c r="C14" t="s">
        <v>14</v>
      </c>
      <c r="D14" t="s">
        <v>348</v>
      </c>
      <c r="E14" t="s">
        <v>36</v>
      </c>
      <c r="F14" t="s">
        <v>349</v>
      </c>
      <c r="G14" t="s">
        <v>383</v>
      </c>
      <c r="H14" t="s">
        <v>19</v>
      </c>
      <c r="I14" t="s">
        <v>20</v>
      </c>
      <c r="J14">
        <v>5</v>
      </c>
      <c r="K14">
        <v>54990</v>
      </c>
      <c r="L14" t="s">
        <v>51</v>
      </c>
    </row>
    <row r="15" spans="1:12" x14ac:dyDescent="0.45">
      <c r="A15" t="s">
        <v>384</v>
      </c>
      <c r="B15" t="s">
        <v>385</v>
      </c>
      <c r="C15" t="s">
        <v>14</v>
      </c>
      <c r="D15" t="s">
        <v>386</v>
      </c>
      <c r="E15" t="s">
        <v>16</v>
      </c>
      <c r="F15" t="s">
        <v>349</v>
      </c>
      <c r="G15" t="s">
        <v>335</v>
      </c>
      <c r="H15" t="s">
        <v>26</v>
      </c>
      <c r="I15" t="s">
        <v>27</v>
      </c>
      <c r="J15">
        <v>12</v>
      </c>
      <c r="K15">
        <v>49990</v>
      </c>
      <c r="L15" t="s">
        <v>166</v>
      </c>
    </row>
    <row r="16" spans="1:12" x14ac:dyDescent="0.45">
      <c r="A16" t="s">
        <v>387</v>
      </c>
      <c r="B16" t="s">
        <v>388</v>
      </c>
      <c r="C16" t="s">
        <v>14</v>
      </c>
      <c r="D16" t="s">
        <v>389</v>
      </c>
      <c r="E16" t="s">
        <v>36</v>
      </c>
      <c r="F16" t="s">
        <v>371</v>
      </c>
      <c r="G16" t="s">
        <v>125</v>
      </c>
      <c r="H16" t="s">
        <v>95</v>
      </c>
      <c r="I16" t="s">
        <v>55</v>
      </c>
      <c r="J16">
        <v>5</v>
      </c>
      <c r="K16">
        <v>39990</v>
      </c>
      <c r="L16" t="s">
        <v>51</v>
      </c>
    </row>
    <row r="17" spans="1:12" x14ac:dyDescent="0.45">
      <c r="A17" t="s">
        <v>390</v>
      </c>
      <c r="B17" t="s">
        <v>391</v>
      </c>
      <c r="C17" t="s">
        <v>14</v>
      </c>
      <c r="D17" t="s">
        <v>348</v>
      </c>
      <c r="E17" t="s">
        <v>16</v>
      </c>
      <c r="F17" t="s">
        <v>349</v>
      </c>
      <c r="G17" t="s">
        <v>279</v>
      </c>
      <c r="H17" t="s">
        <v>62</v>
      </c>
      <c r="I17" t="s">
        <v>20</v>
      </c>
      <c r="J17">
        <v>16</v>
      </c>
      <c r="K17">
        <v>12999</v>
      </c>
      <c r="L17" t="s">
        <v>361</v>
      </c>
    </row>
    <row r="18" spans="1:12" x14ac:dyDescent="0.45">
      <c r="A18" t="s">
        <v>392</v>
      </c>
      <c r="B18" t="s">
        <v>393</v>
      </c>
      <c r="C18" t="s">
        <v>14</v>
      </c>
      <c r="D18" t="s">
        <v>348</v>
      </c>
      <c r="E18" t="s">
        <v>24</v>
      </c>
      <c r="F18" t="s">
        <v>349</v>
      </c>
      <c r="G18" t="s">
        <v>394</v>
      </c>
      <c r="H18" t="s">
        <v>26</v>
      </c>
      <c r="I18" t="s">
        <v>20</v>
      </c>
      <c r="J18">
        <v>23</v>
      </c>
      <c r="K18">
        <v>2999</v>
      </c>
      <c r="L18" t="s">
        <v>222</v>
      </c>
    </row>
    <row r="19" spans="1:12" x14ac:dyDescent="0.45">
      <c r="A19" t="s">
        <v>395</v>
      </c>
      <c r="B19" t="s">
        <v>396</v>
      </c>
      <c r="C19" t="s">
        <v>14</v>
      </c>
      <c r="D19" t="s">
        <v>348</v>
      </c>
      <c r="E19" t="s">
        <v>42</v>
      </c>
      <c r="F19" t="s">
        <v>349</v>
      </c>
      <c r="G19" t="s">
        <v>70</v>
      </c>
      <c r="H19" t="s">
        <v>67</v>
      </c>
      <c r="I19" t="s">
        <v>27</v>
      </c>
      <c r="J19">
        <v>11</v>
      </c>
      <c r="K19">
        <v>32900</v>
      </c>
      <c r="L19" t="s">
        <v>39</v>
      </c>
    </row>
    <row r="20" spans="1:12" x14ac:dyDescent="0.45">
      <c r="A20" t="s">
        <v>397</v>
      </c>
      <c r="B20" t="s">
        <v>398</v>
      </c>
      <c r="C20" t="s">
        <v>14</v>
      </c>
      <c r="D20" t="s">
        <v>399</v>
      </c>
      <c r="E20" t="s">
        <v>24</v>
      </c>
      <c r="F20" t="s">
        <v>371</v>
      </c>
      <c r="G20" t="s">
        <v>274</v>
      </c>
      <c r="H20" t="s">
        <v>38</v>
      </c>
      <c r="I20" t="s">
        <v>20</v>
      </c>
      <c r="J20">
        <v>11</v>
      </c>
      <c r="K20">
        <v>12999</v>
      </c>
      <c r="L20" t="s">
        <v>21</v>
      </c>
    </row>
    <row r="21" spans="1:12" x14ac:dyDescent="0.45">
      <c r="A21" t="s">
        <v>400</v>
      </c>
      <c r="B21" t="s">
        <v>401</v>
      </c>
      <c r="C21" t="s">
        <v>14</v>
      </c>
      <c r="D21" t="s">
        <v>348</v>
      </c>
      <c r="E21" t="s">
        <v>24</v>
      </c>
      <c r="F21" t="s">
        <v>349</v>
      </c>
      <c r="G21" t="s">
        <v>402</v>
      </c>
      <c r="H21" t="s">
        <v>95</v>
      </c>
      <c r="I21" t="s">
        <v>27</v>
      </c>
      <c r="J21">
        <v>22</v>
      </c>
      <c r="K21">
        <v>44999</v>
      </c>
      <c r="L21" t="s">
        <v>85</v>
      </c>
    </row>
    <row r="22" spans="1:12" x14ac:dyDescent="0.45">
      <c r="A22" t="s">
        <v>403</v>
      </c>
      <c r="B22" t="s">
        <v>404</v>
      </c>
      <c r="C22" t="s">
        <v>14</v>
      </c>
      <c r="D22" t="s">
        <v>370</v>
      </c>
      <c r="E22" t="s">
        <v>16</v>
      </c>
      <c r="F22" t="s">
        <v>371</v>
      </c>
      <c r="G22" t="s">
        <v>262</v>
      </c>
      <c r="H22" t="s">
        <v>32</v>
      </c>
      <c r="I22" t="s">
        <v>27</v>
      </c>
      <c r="J22">
        <v>12</v>
      </c>
      <c r="K22">
        <v>34999</v>
      </c>
      <c r="L22" t="s">
        <v>63</v>
      </c>
    </row>
    <row r="23" spans="1:12" x14ac:dyDescent="0.45">
      <c r="A23" t="s">
        <v>405</v>
      </c>
      <c r="B23" t="s">
        <v>406</v>
      </c>
      <c r="C23" t="s">
        <v>14</v>
      </c>
      <c r="D23" t="s">
        <v>370</v>
      </c>
      <c r="E23" t="s">
        <v>42</v>
      </c>
      <c r="F23" t="s">
        <v>371</v>
      </c>
      <c r="G23" t="s">
        <v>407</v>
      </c>
      <c r="H23" t="s">
        <v>95</v>
      </c>
      <c r="I23" t="s">
        <v>27</v>
      </c>
      <c r="J23">
        <v>24</v>
      </c>
      <c r="K23">
        <v>31999</v>
      </c>
      <c r="L23" t="s">
        <v>74</v>
      </c>
    </row>
    <row r="24" spans="1:12" x14ac:dyDescent="0.45">
      <c r="A24" t="s">
        <v>408</v>
      </c>
      <c r="B24" t="s">
        <v>409</v>
      </c>
      <c r="C24" t="s">
        <v>14</v>
      </c>
      <c r="D24" t="s">
        <v>370</v>
      </c>
      <c r="E24" t="s">
        <v>36</v>
      </c>
      <c r="F24" t="s">
        <v>349</v>
      </c>
      <c r="G24" t="s">
        <v>410</v>
      </c>
      <c r="H24" t="s">
        <v>95</v>
      </c>
      <c r="I24" t="s">
        <v>55</v>
      </c>
      <c r="J24">
        <v>5</v>
      </c>
      <c r="K24">
        <v>33999</v>
      </c>
      <c r="L24" t="s">
        <v>51</v>
      </c>
    </row>
    <row r="25" spans="1:12" x14ac:dyDescent="0.45">
      <c r="A25" t="s">
        <v>411</v>
      </c>
      <c r="B25" t="s">
        <v>412</v>
      </c>
      <c r="C25" t="s">
        <v>14</v>
      </c>
      <c r="D25" t="s">
        <v>348</v>
      </c>
      <c r="E25" t="s">
        <v>42</v>
      </c>
      <c r="F25" t="s">
        <v>349</v>
      </c>
      <c r="G25" t="s">
        <v>205</v>
      </c>
      <c r="H25" t="s">
        <v>26</v>
      </c>
      <c r="I25" t="s">
        <v>27</v>
      </c>
      <c r="J25">
        <v>30</v>
      </c>
      <c r="K25">
        <v>37990</v>
      </c>
      <c r="L25" t="s">
        <v>119</v>
      </c>
    </row>
    <row r="26" spans="1:12" x14ac:dyDescent="0.45">
      <c r="A26" t="s">
        <v>413</v>
      </c>
      <c r="B26" t="s">
        <v>414</v>
      </c>
      <c r="C26" t="s">
        <v>14</v>
      </c>
      <c r="D26" t="s">
        <v>415</v>
      </c>
      <c r="E26" t="s">
        <v>16</v>
      </c>
      <c r="F26" t="s">
        <v>371</v>
      </c>
      <c r="G26" t="s">
        <v>402</v>
      </c>
      <c r="H26" t="s">
        <v>95</v>
      </c>
      <c r="I26" t="s">
        <v>27</v>
      </c>
      <c r="J26">
        <v>30</v>
      </c>
      <c r="K26">
        <v>8995</v>
      </c>
      <c r="L26" t="s">
        <v>28</v>
      </c>
    </row>
    <row r="27" spans="1:12" x14ac:dyDescent="0.45">
      <c r="A27" t="s">
        <v>416</v>
      </c>
      <c r="B27" t="s">
        <v>417</v>
      </c>
      <c r="C27" t="s">
        <v>14</v>
      </c>
      <c r="D27" t="s">
        <v>415</v>
      </c>
      <c r="E27" t="s">
        <v>36</v>
      </c>
      <c r="F27" t="s">
        <v>371</v>
      </c>
      <c r="G27" t="s">
        <v>135</v>
      </c>
      <c r="H27" t="s">
        <v>32</v>
      </c>
      <c r="I27" t="s">
        <v>20</v>
      </c>
      <c r="J27">
        <v>7</v>
      </c>
      <c r="K27">
        <v>2795</v>
      </c>
      <c r="L27" t="s">
        <v>51</v>
      </c>
    </row>
    <row r="28" spans="1:12" x14ac:dyDescent="0.45">
      <c r="A28" t="s">
        <v>418</v>
      </c>
      <c r="B28" t="s">
        <v>419</v>
      </c>
      <c r="C28" t="s">
        <v>14</v>
      </c>
      <c r="D28" t="s">
        <v>386</v>
      </c>
      <c r="E28" t="s">
        <v>36</v>
      </c>
      <c r="F28" t="s">
        <v>349</v>
      </c>
      <c r="G28" t="s">
        <v>91</v>
      </c>
      <c r="H28" t="s">
        <v>67</v>
      </c>
      <c r="I28" t="s">
        <v>20</v>
      </c>
      <c r="J28">
        <v>6</v>
      </c>
      <c r="K28">
        <v>2999</v>
      </c>
      <c r="L28" t="s">
        <v>51</v>
      </c>
    </row>
    <row r="29" spans="1:12" x14ac:dyDescent="0.45">
      <c r="A29" t="s">
        <v>420</v>
      </c>
      <c r="B29" t="s">
        <v>421</v>
      </c>
      <c r="C29" t="s">
        <v>14</v>
      </c>
      <c r="D29" t="s">
        <v>348</v>
      </c>
      <c r="E29" t="s">
        <v>24</v>
      </c>
      <c r="F29" t="s">
        <v>349</v>
      </c>
      <c r="G29" t="s">
        <v>317</v>
      </c>
      <c r="H29" t="s">
        <v>67</v>
      </c>
      <c r="I29" t="s">
        <v>27</v>
      </c>
      <c r="J29">
        <v>2</v>
      </c>
      <c r="K29">
        <v>5499</v>
      </c>
      <c r="L29" t="s">
        <v>63</v>
      </c>
    </row>
    <row r="30" spans="1:12" x14ac:dyDescent="0.45">
      <c r="A30" t="s">
        <v>422</v>
      </c>
      <c r="B30" t="s">
        <v>423</v>
      </c>
      <c r="C30" t="s">
        <v>14</v>
      </c>
      <c r="D30" t="s">
        <v>348</v>
      </c>
      <c r="E30" t="s">
        <v>16</v>
      </c>
      <c r="F30" t="s">
        <v>349</v>
      </c>
      <c r="G30" t="s">
        <v>111</v>
      </c>
      <c r="H30" t="s">
        <v>19</v>
      </c>
      <c r="I30" t="s">
        <v>27</v>
      </c>
      <c r="J30">
        <v>30</v>
      </c>
      <c r="K30">
        <v>2799</v>
      </c>
      <c r="L30" t="s">
        <v>163</v>
      </c>
    </row>
    <row r="31" spans="1:12" x14ac:dyDescent="0.45">
      <c r="A31" t="s">
        <v>424</v>
      </c>
      <c r="B31" t="s">
        <v>425</v>
      </c>
      <c r="C31" t="s">
        <v>14</v>
      </c>
      <c r="D31" t="s">
        <v>348</v>
      </c>
      <c r="E31" t="s">
        <v>36</v>
      </c>
      <c r="F31" t="s">
        <v>349</v>
      </c>
      <c r="G31" t="s">
        <v>279</v>
      </c>
      <c r="H31" t="s">
        <v>95</v>
      </c>
      <c r="I31" t="s">
        <v>55</v>
      </c>
      <c r="J31">
        <v>5</v>
      </c>
      <c r="K31">
        <v>6999</v>
      </c>
      <c r="L31" t="s">
        <v>51</v>
      </c>
    </row>
    <row r="32" spans="1:12" x14ac:dyDescent="0.45">
      <c r="A32" t="s">
        <v>426</v>
      </c>
      <c r="B32" t="s">
        <v>427</v>
      </c>
      <c r="C32" t="s">
        <v>14</v>
      </c>
      <c r="D32" t="s">
        <v>348</v>
      </c>
      <c r="E32" t="s">
        <v>42</v>
      </c>
      <c r="F32" t="s">
        <v>349</v>
      </c>
      <c r="G32" t="s">
        <v>428</v>
      </c>
      <c r="H32" t="s">
        <v>62</v>
      </c>
      <c r="I32" t="s">
        <v>27</v>
      </c>
      <c r="J32">
        <v>19</v>
      </c>
      <c r="K32">
        <v>5499</v>
      </c>
      <c r="L32" t="s">
        <v>119</v>
      </c>
    </row>
    <row r="33" spans="1:12" x14ac:dyDescent="0.45">
      <c r="A33" t="s">
        <v>429</v>
      </c>
      <c r="B33" t="s">
        <v>430</v>
      </c>
      <c r="C33" t="s">
        <v>14</v>
      </c>
      <c r="D33" t="s">
        <v>386</v>
      </c>
      <c r="E33" t="s">
        <v>36</v>
      </c>
      <c r="F33" t="s">
        <v>349</v>
      </c>
      <c r="G33" t="s">
        <v>410</v>
      </c>
      <c r="H33" t="s">
        <v>62</v>
      </c>
      <c r="I33" t="s">
        <v>55</v>
      </c>
      <c r="J33">
        <v>11</v>
      </c>
      <c r="K33">
        <v>2199</v>
      </c>
      <c r="L33" t="s">
        <v>51</v>
      </c>
    </row>
    <row r="34" spans="1:12" x14ac:dyDescent="0.45">
      <c r="A34" t="s">
        <v>431</v>
      </c>
      <c r="B34" t="s">
        <v>432</v>
      </c>
      <c r="C34" t="s">
        <v>14</v>
      </c>
      <c r="D34" t="s">
        <v>348</v>
      </c>
      <c r="E34" t="s">
        <v>42</v>
      </c>
      <c r="F34" t="s">
        <v>349</v>
      </c>
      <c r="G34" t="s">
        <v>58</v>
      </c>
      <c r="H34" t="s">
        <v>38</v>
      </c>
      <c r="I34" t="s">
        <v>27</v>
      </c>
      <c r="J34">
        <v>12</v>
      </c>
      <c r="K34">
        <v>12999</v>
      </c>
      <c r="L34" t="s">
        <v>33</v>
      </c>
    </row>
    <row r="35" spans="1:12" x14ac:dyDescent="0.45">
      <c r="A35" t="s">
        <v>433</v>
      </c>
      <c r="B35" t="s">
        <v>434</v>
      </c>
      <c r="C35" t="s">
        <v>14</v>
      </c>
      <c r="D35" t="s">
        <v>348</v>
      </c>
      <c r="E35" t="s">
        <v>42</v>
      </c>
      <c r="F35" t="s">
        <v>349</v>
      </c>
      <c r="G35" t="s">
        <v>435</v>
      </c>
      <c r="H35" t="s">
        <v>67</v>
      </c>
      <c r="I35" t="s">
        <v>27</v>
      </c>
      <c r="J35">
        <v>30</v>
      </c>
      <c r="K35">
        <v>3999</v>
      </c>
      <c r="L35" t="s">
        <v>33</v>
      </c>
    </row>
    <row r="36" spans="1:12" x14ac:dyDescent="0.45">
      <c r="A36" t="s">
        <v>436</v>
      </c>
      <c r="B36" t="s">
        <v>437</v>
      </c>
      <c r="C36" t="s">
        <v>14</v>
      </c>
      <c r="D36" t="s">
        <v>348</v>
      </c>
      <c r="E36" t="s">
        <v>16</v>
      </c>
      <c r="F36" t="s">
        <v>349</v>
      </c>
      <c r="G36" t="s">
        <v>438</v>
      </c>
      <c r="H36" t="s">
        <v>32</v>
      </c>
      <c r="I36" t="s">
        <v>27</v>
      </c>
      <c r="J36">
        <v>22</v>
      </c>
      <c r="K36">
        <v>4999</v>
      </c>
      <c r="L36" t="s">
        <v>126</v>
      </c>
    </row>
    <row r="37" spans="1:12" x14ac:dyDescent="0.45">
      <c r="A37" t="s">
        <v>439</v>
      </c>
      <c r="B37" t="s">
        <v>440</v>
      </c>
      <c r="C37" t="s">
        <v>133</v>
      </c>
      <c r="D37" t="s">
        <v>348</v>
      </c>
      <c r="E37" t="s">
        <v>24</v>
      </c>
      <c r="F37" t="s">
        <v>441</v>
      </c>
      <c r="G37" t="s">
        <v>188</v>
      </c>
      <c r="H37" t="s">
        <v>19</v>
      </c>
      <c r="I37" t="s">
        <v>27</v>
      </c>
      <c r="J37">
        <v>25</v>
      </c>
      <c r="K37">
        <v>365</v>
      </c>
      <c r="L37" t="s">
        <v>145</v>
      </c>
    </row>
    <row r="38" spans="1:12" x14ac:dyDescent="0.45">
      <c r="A38" t="s">
        <v>442</v>
      </c>
      <c r="B38" t="s">
        <v>443</v>
      </c>
      <c r="C38" t="s">
        <v>133</v>
      </c>
      <c r="D38" t="s">
        <v>348</v>
      </c>
      <c r="E38" t="s">
        <v>24</v>
      </c>
      <c r="F38" t="s">
        <v>441</v>
      </c>
      <c r="G38" t="s">
        <v>262</v>
      </c>
      <c r="H38" t="s">
        <v>19</v>
      </c>
      <c r="I38" t="s">
        <v>20</v>
      </c>
      <c r="J38">
        <v>23</v>
      </c>
      <c r="K38">
        <v>215</v>
      </c>
      <c r="L38" t="s">
        <v>85</v>
      </c>
    </row>
    <row r="39" spans="1:12" x14ac:dyDescent="0.45">
      <c r="A39" t="s">
        <v>444</v>
      </c>
      <c r="B39" t="s">
        <v>445</v>
      </c>
      <c r="C39" t="s">
        <v>133</v>
      </c>
      <c r="D39" t="s">
        <v>415</v>
      </c>
      <c r="E39" t="s">
        <v>42</v>
      </c>
      <c r="F39" t="s">
        <v>441</v>
      </c>
      <c r="G39" t="s">
        <v>18</v>
      </c>
      <c r="H39" t="s">
        <v>26</v>
      </c>
      <c r="I39" t="s">
        <v>27</v>
      </c>
      <c r="J39">
        <v>15</v>
      </c>
      <c r="K39">
        <v>40</v>
      </c>
      <c r="L39" t="s">
        <v>63</v>
      </c>
    </row>
    <row r="40" spans="1:12" x14ac:dyDescent="0.45">
      <c r="A40" t="s">
        <v>446</v>
      </c>
      <c r="B40" t="s">
        <v>447</v>
      </c>
      <c r="C40" t="s">
        <v>133</v>
      </c>
      <c r="D40" t="s">
        <v>415</v>
      </c>
      <c r="E40" t="s">
        <v>24</v>
      </c>
      <c r="F40" t="s">
        <v>441</v>
      </c>
      <c r="G40" t="s">
        <v>375</v>
      </c>
      <c r="H40" t="s">
        <v>38</v>
      </c>
      <c r="I40" t="s">
        <v>27</v>
      </c>
      <c r="J40">
        <v>9</v>
      </c>
      <c r="K40">
        <v>10</v>
      </c>
      <c r="L40" t="s">
        <v>28</v>
      </c>
    </row>
    <row r="41" spans="1:12" x14ac:dyDescent="0.45">
      <c r="A41" t="s">
        <v>448</v>
      </c>
      <c r="B41" t="s">
        <v>449</v>
      </c>
      <c r="C41" t="s">
        <v>133</v>
      </c>
      <c r="D41" t="s">
        <v>415</v>
      </c>
      <c r="E41" t="s">
        <v>36</v>
      </c>
      <c r="F41" t="s">
        <v>441</v>
      </c>
      <c r="G41" t="s">
        <v>450</v>
      </c>
      <c r="H41" t="s">
        <v>19</v>
      </c>
      <c r="I41" t="s">
        <v>55</v>
      </c>
      <c r="J41">
        <v>6</v>
      </c>
      <c r="K41">
        <v>85</v>
      </c>
      <c r="L41" t="s">
        <v>39</v>
      </c>
    </row>
    <row r="42" spans="1:12" x14ac:dyDescent="0.45">
      <c r="A42" t="s">
        <v>451</v>
      </c>
      <c r="B42" t="s">
        <v>452</v>
      </c>
      <c r="C42" t="s">
        <v>133</v>
      </c>
      <c r="D42" t="s">
        <v>348</v>
      </c>
      <c r="E42" t="s">
        <v>36</v>
      </c>
      <c r="F42" t="s">
        <v>441</v>
      </c>
      <c r="G42" t="s">
        <v>453</v>
      </c>
      <c r="H42" t="s">
        <v>32</v>
      </c>
      <c r="I42" t="s">
        <v>20</v>
      </c>
      <c r="J42">
        <v>8</v>
      </c>
      <c r="K42">
        <v>90</v>
      </c>
      <c r="L42" t="s">
        <v>39</v>
      </c>
    </row>
    <row r="43" spans="1:12" x14ac:dyDescent="0.45">
      <c r="A43" t="s">
        <v>454</v>
      </c>
      <c r="B43" t="s">
        <v>455</v>
      </c>
      <c r="C43" t="s">
        <v>133</v>
      </c>
      <c r="D43" t="s">
        <v>348</v>
      </c>
      <c r="E43" t="s">
        <v>36</v>
      </c>
      <c r="F43" t="s">
        <v>441</v>
      </c>
      <c r="G43" t="s">
        <v>456</v>
      </c>
      <c r="H43" t="s">
        <v>95</v>
      </c>
      <c r="I43" t="s">
        <v>20</v>
      </c>
      <c r="J43">
        <v>6</v>
      </c>
      <c r="K43">
        <v>40</v>
      </c>
      <c r="L43" t="s">
        <v>51</v>
      </c>
    </row>
    <row r="44" spans="1:12" x14ac:dyDescent="0.45">
      <c r="A44" t="s">
        <v>457</v>
      </c>
      <c r="B44" t="s">
        <v>458</v>
      </c>
      <c r="C44" t="s">
        <v>133</v>
      </c>
      <c r="D44" t="s">
        <v>459</v>
      </c>
      <c r="E44" t="s">
        <v>36</v>
      </c>
      <c r="F44" t="s">
        <v>371</v>
      </c>
      <c r="G44" t="s">
        <v>456</v>
      </c>
      <c r="H44" t="s">
        <v>50</v>
      </c>
      <c r="I44" t="s">
        <v>55</v>
      </c>
      <c r="J44">
        <v>12</v>
      </c>
      <c r="K44">
        <v>125</v>
      </c>
      <c r="L44" t="s">
        <v>39</v>
      </c>
    </row>
    <row r="45" spans="1:12" x14ac:dyDescent="0.45">
      <c r="A45" t="s">
        <v>460</v>
      </c>
      <c r="B45" t="s">
        <v>461</v>
      </c>
      <c r="C45" t="s">
        <v>133</v>
      </c>
      <c r="D45" t="s">
        <v>348</v>
      </c>
      <c r="E45" t="s">
        <v>24</v>
      </c>
      <c r="F45" t="s">
        <v>441</v>
      </c>
      <c r="G45" t="s">
        <v>428</v>
      </c>
      <c r="H45" t="s">
        <v>19</v>
      </c>
      <c r="I45" t="s">
        <v>20</v>
      </c>
      <c r="J45">
        <v>24</v>
      </c>
      <c r="K45">
        <v>150</v>
      </c>
      <c r="L45" t="s">
        <v>78</v>
      </c>
    </row>
    <row r="46" spans="1:12" x14ac:dyDescent="0.45">
      <c r="A46" t="s">
        <v>462</v>
      </c>
      <c r="B46" t="s">
        <v>463</v>
      </c>
      <c r="C46" t="s">
        <v>133</v>
      </c>
      <c r="D46" t="s">
        <v>464</v>
      </c>
      <c r="E46" t="s">
        <v>36</v>
      </c>
      <c r="F46" t="s">
        <v>371</v>
      </c>
      <c r="G46" t="s">
        <v>465</v>
      </c>
      <c r="H46" t="s">
        <v>26</v>
      </c>
      <c r="I46" t="s">
        <v>20</v>
      </c>
      <c r="J46">
        <v>7</v>
      </c>
      <c r="K46">
        <v>399</v>
      </c>
      <c r="L46" t="s">
        <v>51</v>
      </c>
    </row>
    <row r="47" spans="1:12" x14ac:dyDescent="0.45">
      <c r="A47" t="s">
        <v>466</v>
      </c>
      <c r="B47" t="s">
        <v>467</v>
      </c>
      <c r="C47" t="s">
        <v>133</v>
      </c>
      <c r="D47" t="s">
        <v>415</v>
      </c>
      <c r="E47" t="s">
        <v>16</v>
      </c>
      <c r="F47" t="s">
        <v>371</v>
      </c>
      <c r="G47" t="s">
        <v>357</v>
      </c>
      <c r="H47" t="s">
        <v>95</v>
      </c>
      <c r="I47" t="s">
        <v>20</v>
      </c>
      <c r="J47">
        <v>14</v>
      </c>
      <c r="K47">
        <v>750</v>
      </c>
      <c r="L47" t="s">
        <v>119</v>
      </c>
    </row>
    <row r="48" spans="1:12" x14ac:dyDescent="0.45">
      <c r="A48" t="s">
        <v>468</v>
      </c>
      <c r="B48" t="s">
        <v>469</v>
      </c>
      <c r="C48" t="s">
        <v>133</v>
      </c>
      <c r="D48" t="s">
        <v>415</v>
      </c>
      <c r="E48" t="s">
        <v>36</v>
      </c>
      <c r="F48" t="s">
        <v>371</v>
      </c>
      <c r="G48" t="s">
        <v>122</v>
      </c>
      <c r="H48" t="s">
        <v>95</v>
      </c>
      <c r="I48" t="s">
        <v>55</v>
      </c>
      <c r="J48">
        <v>12</v>
      </c>
      <c r="K48">
        <v>275</v>
      </c>
      <c r="L48" t="s">
        <v>39</v>
      </c>
    </row>
    <row r="49" spans="1:12" x14ac:dyDescent="0.45">
      <c r="A49" t="s">
        <v>470</v>
      </c>
      <c r="B49" t="s">
        <v>471</v>
      </c>
      <c r="C49" t="s">
        <v>133</v>
      </c>
      <c r="D49" t="s">
        <v>399</v>
      </c>
      <c r="E49" t="s">
        <v>24</v>
      </c>
      <c r="F49" t="s">
        <v>371</v>
      </c>
      <c r="G49" t="s">
        <v>338</v>
      </c>
      <c r="H49" t="s">
        <v>38</v>
      </c>
      <c r="I49" t="s">
        <v>27</v>
      </c>
      <c r="J49">
        <v>2</v>
      </c>
      <c r="K49">
        <v>130</v>
      </c>
      <c r="L49" t="s">
        <v>63</v>
      </c>
    </row>
    <row r="50" spans="1:12" x14ac:dyDescent="0.45">
      <c r="A50" t="s">
        <v>472</v>
      </c>
      <c r="B50" t="s">
        <v>473</v>
      </c>
      <c r="C50" t="s">
        <v>133</v>
      </c>
      <c r="D50" t="s">
        <v>348</v>
      </c>
      <c r="E50" t="s">
        <v>42</v>
      </c>
      <c r="F50" t="s">
        <v>441</v>
      </c>
      <c r="G50" t="s">
        <v>94</v>
      </c>
      <c r="H50" t="s">
        <v>50</v>
      </c>
      <c r="I50" t="s">
        <v>27</v>
      </c>
      <c r="J50">
        <v>10</v>
      </c>
      <c r="K50">
        <v>20</v>
      </c>
      <c r="L50" t="s">
        <v>105</v>
      </c>
    </row>
    <row r="51" spans="1:12" x14ac:dyDescent="0.45">
      <c r="A51" t="s">
        <v>474</v>
      </c>
      <c r="B51" t="s">
        <v>475</v>
      </c>
      <c r="C51" t="s">
        <v>133</v>
      </c>
      <c r="D51" t="s">
        <v>348</v>
      </c>
      <c r="E51" t="s">
        <v>24</v>
      </c>
      <c r="F51" t="s">
        <v>441</v>
      </c>
      <c r="G51" t="s">
        <v>217</v>
      </c>
      <c r="H51" t="s">
        <v>26</v>
      </c>
      <c r="I51" t="s">
        <v>27</v>
      </c>
      <c r="J51">
        <v>25</v>
      </c>
      <c r="K51">
        <v>75</v>
      </c>
      <c r="L51" t="s">
        <v>21</v>
      </c>
    </row>
    <row r="52" spans="1:12" x14ac:dyDescent="0.45">
      <c r="A52" t="s">
        <v>476</v>
      </c>
      <c r="B52" t="s">
        <v>477</v>
      </c>
      <c r="C52" t="s">
        <v>133</v>
      </c>
      <c r="D52" t="s">
        <v>348</v>
      </c>
      <c r="E52" t="s">
        <v>42</v>
      </c>
      <c r="F52" t="s">
        <v>441</v>
      </c>
      <c r="G52" t="s">
        <v>478</v>
      </c>
      <c r="H52" t="s">
        <v>38</v>
      </c>
      <c r="I52" t="s">
        <v>27</v>
      </c>
      <c r="J52">
        <v>15</v>
      </c>
      <c r="K52">
        <v>125</v>
      </c>
      <c r="L52" t="s">
        <v>63</v>
      </c>
    </row>
    <row r="53" spans="1:12" x14ac:dyDescent="0.45">
      <c r="A53" t="s">
        <v>479</v>
      </c>
      <c r="B53" t="s">
        <v>480</v>
      </c>
      <c r="C53" t="s">
        <v>133</v>
      </c>
      <c r="D53" t="s">
        <v>348</v>
      </c>
      <c r="E53" t="s">
        <v>36</v>
      </c>
      <c r="F53" t="s">
        <v>441</v>
      </c>
      <c r="G53" t="s">
        <v>114</v>
      </c>
      <c r="H53" t="s">
        <v>19</v>
      </c>
      <c r="I53" t="s">
        <v>55</v>
      </c>
      <c r="J53">
        <v>8</v>
      </c>
      <c r="K53">
        <v>50</v>
      </c>
      <c r="L53" t="s">
        <v>51</v>
      </c>
    </row>
    <row r="54" spans="1:12" x14ac:dyDescent="0.45">
      <c r="A54" t="s">
        <v>481</v>
      </c>
      <c r="B54" t="s">
        <v>482</v>
      </c>
      <c r="C54" t="s">
        <v>133</v>
      </c>
      <c r="D54" t="s">
        <v>399</v>
      </c>
      <c r="E54" t="s">
        <v>36</v>
      </c>
      <c r="F54" t="s">
        <v>371</v>
      </c>
      <c r="G54" t="s">
        <v>402</v>
      </c>
      <c r="H54" t="s">
        <v>50</v>
      </c>
      <c r="I54" t="s">
        <v>20</v>
      </c>
      <c r="J54">
        <v>12</v>
      </c>
      <c r="K54">
        <v>145</v>
      </c>
      <c r="L54" t="s">
        <v>39</v>
      </c>
    </row>
    <row r="55" spans="1:12" x14ac:dyDescent="0.45">
      <c r="A55" t="s">
        <v>483</v>
      </c>
      <c r="B55" t="s">
        <v>484</v>
      </c>
      <c r="C55" t="s">
        <v>133</v>
      </c>
      <c r="D55" t="s">
        <v>464</v>
      </c>
      <c r="E55" t="s">
        <v>42</v>
      </c>
      <c r="F55" t="s">
        <v>371</v>
      </c>
      <c r="G55" t="s">
        <v>81</v>
      </c>
      <c r="H55" t="s">
        <v>50</v>
      </c>
      <c r="I55" t="s">
        <v>27</v>
      </c>
      <c r="J55">
        <v>28</v>
      </c>
      <c r="K55">
        <v>375</v>
      </c>
      <c r="L55" t="s">
        <v>214</v>
      </c>
    </row>
    <row r="56" spans="1:12" x14ac:dyDescent="0.45">
      <c r="A56" t="s">
        <v>485</v>
      </c>
      <c r="B56" t="s">
        <v>486</v>
      </c>
      <c r="C56" t="s">
        <v>133</v>
      </c>
      <c r="D56" t="s">
        <v>348</v>
      </c>
      <c r="E56" t="s">
        <v>42</v>
      </c>
      <c r="F56" t="s">
        <v>441</v>
      </c>
      <c r="G56" t="s">
        <v>125</v>
      </c>
      <c r="H56" t="s">
        <v>38</v>
      </c>
      <c r="I56" t="s">
        <v>27</v>
      </c>
      <c r="J56">
        <v>27</v>
      </c>
      <c r="K56">
        <v>299</v>
      </c>
      <c r="L56" t="s">
        <v>136</v>
      </c>
    </row>
    <row r="57" spans="1:12" x14ac:dyDescent="0.45">
      <c r="A57" t="s">
        <v>487</v>
      </c>
      <c r="B57" t="s">
        <v>488</v>
      </c>
      <c r="C57" t="s">
        <v>133</v>
      </c>
      <c r="D57" t="s">
        <v>348</v>
      </c>
      <c r="E57" t="s">
        <v>24</v>
      </c>
      <c r="F57" t="s">
        <v>441</v>
      </c>
      <c r="G57" t="s">
        <v>111</v>
      </c>
      <c r="H57" t="s">
        <v>95</v>
      </c>
      <c r="I57" t="s">
        <v>20</v>
      </c>
      <c r="J57">
        <v>23</v>
      </c>
      <c r="K57">
        <v>265</v>
      </c>
      <c r="L57" t="s">
        <v>85</v>
      </c>
    </row>
    <row r="58" spans="1:12" x14ac:dyDescent="0.45">
      <c r="A58" t="s">
        <v>489</v>
      </c>
      <c r="B58" t="s">
        <v>490</v>
      </c>
      <c r="C58" t="s">
        <v>133</v>
      </c>
      <c r="D58" t="s">
        <v>399</v>
      </c>
      <c r="E58" t="s">
        <v>42</v>
      </c>
      <c r="F58" t="s">
        <v>371</v>
      </c>
      <c r="G58" t="s">
        <v>491</v>
      </c>
      <c r="H58" t="s">
        <v>32</v>
      </c>
      <c r="I58" t="s">
        <v>27</v>
      </c>
      <c r="J58">
        <v>18</v>
      </c>
      <c r="K58">
        <v>165</v>
      </c>
      <c r="L58" t="s">
        <v>39</v>
      </c>
    </row>
    <row r="59" spans="1:12" x14ac:dyDescent="0.45">
      <c r="A59" t="s">
        <v>492</v>
      </c>
      <c r="B59" t="s">
        <v>493</v>
      </c>
      <c r="C59" t="s">
        <v>133</v>
      </c>
      <c r="D59" t="s">
        <v>348</v>
      </c>
      <c r="E59" t="s">
        <v>24</v>
      </c>
      <c r="F59" t="s">
        <v>441</v>
      </c>
      <c r="G59" t="s">
        <v>274</v>
      </c>
      <c r="H59" t="s">
        <v>19</v>
      </c>
      <c r="I59" t="s">
        <v>27</v>
      </c>
      <c r="J59">
        <v>15</v>
      </c>
      <c r="K59">
        <v>850</v>
      </c>
      <c r="L59" t="s">
        <v>222</v>
      </c>
    </row>
    <row r="60" spans="1:12" x14ac:dyDescent="0.45">
      <c r="A60" t="s">
        <v>494</v>
      </c>
      <c r="B60" t="s">
        <v>495</v>
      </c>
      <c r="C60" t="s">
        <v>133</v>
      </c>
      <c r="D60" t="s">
        <v>348</v>
      </c>
      <c r="E60" t="s">
        <v>16</v>
      </c>
      <c r="F60" t="s">
        <v>441</v>
      </c>
      <c r="G60" t="s">
        <v>262</v>
      </c>
      <c r="H60" t="s">
        <v>67</v>
      </c>
      <c r="I60" t="s">
        <v>27</v>
      </c>
      <c r="J60">
        <v>20</v>
      </c>
      <c r="K60">
        <v>565</v>
      </c>
      <c r="L60" t="s">
        <v>39</v>
      </c>
    </row>
    <row r="61" spans="1:12" x14ac:dyDescent="0.45">
      <c r="A61" t="s">
        <v>496</v>
      </c>
      <c r="B61" t="s">
        <v>497</v>
      </c>
      <c r="C61" t="s">
        <v>133</v>
      </c>
      <c r="D61" t="s">
        <v>348</v>
      </c>
      <c r="E61" t="s">
        <v>42</v>
      </c>
      <c r="F61" t="s">
        <v>441</v>
      </c>
      <c r="G61" t="s">
        <v>183</v>
      </c>
      <c r="H61" t="s">
        <v>19</v>
      </c>
      <c r="I61" t="s">
        <v>27</v>
      </c>
      <c r="J61">
        <v>18</v>
      </c>
      <c r="K61">
        <v>525</v>
      </c>
      <c r="L61" t="s">
        <v>74</v>
      </c>
    </row>
    <row r="62" spans="1:12" x14ac:dyDescent="0.45">
      <c r="A62" t="s">
        <v>498</v>
      </c>
      <c r="B62" t="s">
        <v>499</v>
      </c>
      <c r="C62" t="s">
        <v>220</v>
      </c>
      <c r="D62" t="s">
        <v>348</v>
      </c>
      <c r="E62" t="s">
        <v>16</v>
      </c>
      <c r="F62" t="s">
        <v>441</v>
      </c>
      <c r="G62" t="s">
        <v>274</v>
      </c>
      <c r="H62" t="s">
        <v>67</v>
      </c>
      <c r="I62" t="s">
        <v>20</v>
      </c>
      <c r="J62">
        <v>16</v>
      </c>
      <c r="K62">
        <v>499</v>
      </c>
      <c r="L62" t="s">
        <v>361</v>
      </c>
    </row>
    <row r="63" spans="1:12" x14ac:dyDescent="0.45">
      <c r="A63" t="s">
        <v>500</v>
      </c>
      <c r="B63" t="s">
        <v>501</v>
      </c>
      <c r="C63" t="s">
        <v>220</v>
      </c>
      <c r="D63" t="s">
        <v>348</v>
      </c>
      <c r="E63" t="s">
        <v>36</v>
      </c>
      <c r="F63" t="s">
        <v>441</v>
      </c>
      <c r="G63" t="s">
        <v>502</v>
      </c>
      <c r="H63" t="s">
        <v>95</v>
      </c>
      <c r="I63" t="s">
        <v>55</v>
      </c>
      <c r="J63">
        <v>4</v>
      </c>
      <c r="K63">
        <v>699</v>
      </c>
      <c r="L63" t="s">
        <v>51</v>
      </c>
    </row>
    <row r="64" spans="1:12" x14ac:dyDescent="0.45">
      <c r="A64" t="s">
        <v>503</v>
      </c>
      <c r="B64" t="s">
        <v>504</v>
      </c>
      <c r="C64" t="s">
        <v>220</v>
      </c>
      <c r="D64" t="s">
        <v>505</v>
      </c>
      <c r="E64" t="s">
        <v>36</v>
      </c>
      <c r="F64" t="s">
        <v>371</v>
      </c>
      <c r="G64" t="s">
        <v>177</v>
      </c>
      <c r="H64" t="s">
        <v>19</v>
      </c>
      <c r="I64" t="s">
        <v>55</v>
      </c>
      <c r="J64">
        <v>4</v>
      </c>
      <c r="K64">
        <v>385</v>
      </c>
      <c r="L64" t="s">
        <v>51</v>
      </c>
    </row>
    <row r="65" spans="1:12" x14ac:dyDescent="0.45">
      <c r="A65" t="s">
        <v>506</v>
      </c>
      <c r="B65" t="s">
        <v>507</v>
      </c>
      <c r="C65" t="s">
        <v>220</v>
      </c>
      <c r="D65" t="s">
        <v>505</v>
      </c>
      <c r="E65" t="s">
        <v>36</v>
      </c>
      <c r="F65" t="s">
        <v>371</v>
      </c>
      <c r="G65" t="s">
        <v>508</v>
      </c>
      <c r="H65" t="s">
        <v>62</v>
      </c>
      <c r="I65" t="s">
        <v>55</v>
      </c>
      <c r="J65">
        <v>7</v>
      </c>
      <c r="K65">
        <v>799</v>
      </c>
      <c r="L65" t="s">
        <v>51</v>
      </c>
    </row>
    <row r="66" spans="1:12" x14ac:dyDescent="0.45">
      <c r="A66" t="s">
        <v>509</v>
      </c>
      <c r="B66" t="s">
        <v>510</v>
      </c>
      <c r="C66" t="s">
        <v>220</v>
      </c>
      <c r="D66" t="s">
        <v>511</v>
      </c>
      <c r="E66" t="s">
        <v>16</v>
      </c>
      <c r="F66" t="s">
        <v>371</v>
      </c>
      <c r="G66" t="s">
        <v>512</v>
      </c>
      <c r="H66" t="s">
        <v>95</v>
      </c>
      <c r="I66" t="s">
        <v>20</v>
      </c>
      <c r="J66">
        <v>16</v>
      </c>
      <c r="K66">
        <v>299</v>
      </c>
      <c r="L66" t="s">
        <v>21</v>
      </c>
    </row>
    <row r="67" spans="1:12" x14ac:dyDescent="0.45">
      <c r="A67" t="s">
        <v>513</v>
      </c>
      <c r="B67" t="s">
        <v>514</v>
      </c>
      <c r="C67" t="s">
        <v>220</v>
      </c>
      <c r="D67" t="s">
        <v>511</v>
      </c>
      <c r="E67" t="s">
        <v>24</v>
      </c>
      <c r="F67" t="s">
        <v>371</v>
      </c>
      <c r="G67" t="s">
        <v>515</v>
      </c>
      <c r="H67" t="s">
        <v>50</v>
      </c>
      <c r="I67" t="s">
        <v>27</v>
      </c>
      <c r="J67">
        <v>15</v>
      </c>
      <c r="K67">
        <v>165</v>
      </c>
      <c r="L67" t="s">
        <v>74</v>
      </c>
    </row>
    <row r="68" spans="1:12" x14ac:dyDescent="0.45">
      <c r="A68" t="s">
        <v>516</v>
      </c>
      <c r="B68" t="s">
        <v>517</v>
      </c>
      <c r="C68" t="s">
        <v>220</v>
      </c>
      <c r="D68" t="s">
        <v>399</v>
      </c>
      <c r="E68" t="s">
        <v>16</v>
      </c>
      <c r="F68" t="s">
        <v>371</v>
      </c>
      <c r="G68" t="s">
        <v>159</v>
      </c>
      <c r="H68" t="s">
        <v>95</v>
      </c>
      <c r="I68" t="s">
        <v>27</v>
      </c>
      <c r="J68">
        <v>15</v>
      </c>
      <c r="K68">
        <v>995</v>
      </c>
      <c r="L68" t="s">
        <v>51</v>
      </c>
    </row>
    <row r="69" spans="1:12" x14ac:dyDescent="0.45">
      <c r="A69" t="s">
        <v>518</v>
      </c>
      <c r="B69" t="s">
        <v>519</v>
      </c>
      <c r="C69" t="s">
        <v>220</v>
      </c>
      <c r="D69" t="s">
        <v>399</v>
      </c>
      <c r="E69" t="s">
        <v>16</v>
      </c>
      <c r="F69" t="s">
        <v>371</v>
      </c>
      <c r="G69" t="s">
        <v>520</v>
      </c>
      <c r="H69" t="s">
        <v>38</v>
      </c>
      <c r="I69" t="s">
        <v>27</v>
      </c>
      <c r="J69">
        <v>30</v>
      </c>
      <c r="K69">
        <v>1095</v>
      </c>
      <c r="L69" t="s">
        <v>39</v>
      </c>
    </row>
    <row r="70" spans="1:12" x14ac:dyDescent="0.45">
      <c r="A70" t="s">
        <v>521</v>
      </c>
      <c r="B70" t="s">
        <v>522</v>
      </c>
      <c r="C70" t="s">
        <v>220</v>
      </c>
      <c r="D70" t="s">
        <v>505</v>
      </c>
      <c r="E70" t="s">
        <v>36</v>
      </c>
      <c r="F70" t="s">
        <v>371</v>
      </c>
      <c r="G70" t="s">
        <v>523</v>
      </c>
      <c r="H70" t="s">
        <v>32</v>
      </c>
      <c r="I70" t="s">
        <v>55</v>
      </c>
      <c r="J70">
        <v>7</v>
      </c>
      <c r="K70">
        <v>399</v>
      </c>
      <c r="L70" t="s">
        <v>51</v>
      </c>
    </row>
    <row r="71" spans="1:12" x14ac:dyDescent="0.45">
      <c r="A71" t="s">
        <v>524</v>
      </c>
      <c r="B71" t="s">
        <v>525</v>
      </c>
      <c r="C71" t="s">
        <v>220</v>
      </c>
      <c r="D71" t="s">
        <v>505</v>
      </c>
      <c r="E71" t="s">
        <v>16</v>
      </c>
      <c r="F71" t="s">
        <v>371</v>
      </c>
      <c r="G71" t="s">
        <v>357</v>
      </c>
      <c r="H71" t="s">
        <v>32</v>
      </c>
      <c r="I71" t="s">
        <v>20</v>
      </c>
      <c r="J71">
        <v>29</v>
      </c>
      <c r="K71">
        <v>175</v>
      </c>
      <c r="L71" t="s">
        <v>105</v>
      </c>
    </row>
    <row r="72" spans="1:12" x14ac:dyDescent="0.45">
      <c r="A72" t="s">
        <v>526</v>
      </c>
      <c r="B72" t="s">
        <v>527</v>
      </c>
      <c r="C72" t="s">
        <v>220</v>
      </c>
      <c r="D72" t="s">
        <v>348</v>
      </c>
      <c r="E72" t="s">
        <v>36</v>
      </c>
      <c r="F72" t="s">
        <v>441</v>
      </c>
      <c r="G72" t="s">
        <v>159</v>
      </c>
      <c r="H72" t="s">
        <v>38</v>
      </c>
      <c r="I72" t="s">
        <v>55</v>
      </c>
      <c r="J72">
        <v>10</v>
      </c>
      <c r="K72">
        <v>399</v>
      </c>
      <c r="L72" t="s">
        <v>51</v>
      </c>
    </row>
    <row r="73" spans="1:12" x14ac:dyDescent="0.45">
      <c r="A73" t="s">
        <v>528</v>
      </c>
      <c r="B73" t="s">
        <v>529</v>
      </c>
      <c r="C73" t="s">
        <v>220</v>
      </c>
      <c r="D73" t="s">
        <v>348</v>
      </c>
      <c r="E73" t="s">
        <v>42</v>
      </c>
      <c r="F73" t="s">
        <v>441</v>
      </c>
      <c r="G73" t="s">
        <v>530</v>
      </c>
      <c r="H73" t="s">
        <v>95</v>
      </c>
      <c r="I73" t="s">
        <v>27</v>
      </c>
      <c r="J73">
        <v>16</v>
      </c>
      <c r="K73">
        <v>699</v>
      </c>
      <c r="L73" t="s">
        <v>74</v>
      </c>
    </row>
    <row r="74" spans="1:12" x14ac:dyDescent="0.45">
      <c r="A74" t="s">
        <v>531</v>
      </c>
      <c r="B74" t="s">
        <v>532</v>
      </c>
      <c r="C74" t="s">
        <v>220</v>
      </c>
      <c r="D74" t="s">
        <v>399</v>
      </c>
      <c r="E74" t="s">
        <v>16</v>
      </c>
      <c r="F74" t="s">
        <v>371</v>
      </c>
      <c r="G74" t="s">
        <v>274</v>
      </c>
      <c r="H74" t="s">
        <v>19</v>
      </c>
      <c r="I74" t="s">
        <v>20</v>
      </c>
      <c r="J74">
        <v>20</v>
      </c>
      <c r="K74">
        <v>195</v>
      </c>
      <c r="L74" t="s">
        <v>145</v>
      </c>
    </row>
    <row r="75" spans="1:12" x14ac:dyDescent="0.45">
      <c r="A75" t="s">
        <v>533</v>
      </c>
      <c r="B75" t="s">
        <v>534</v>
      </c>
      <c r="C75" t="s">
        <v>220</v>
      </c>
      <c r="D75" t="s">
        <v>399</v>
      </c>
      <c r="E75" t="s">
        <v>42</v>
      </c>
      <c r="F75" t="s">
        <v>371</v>
      </c>
      <c r="G75" t="s">
        <v>350</v>
      </c>
      <c r="H75" t="s">
        <v>19</v>
      </c>
      <c r="I75" t="s">
        <v>27</v>
      </c>
      <c r="J75">
        <v>18</v>
      </c>
      <c r="K75">
        <v>399</v>
      </c>
      <c r="L75" t="s">
        <v>222</v>
      </c>
    </row>
    <row r="76" spans="1:12" x14ac:dyDescent="0.45">
      <c r="A76" t="s">
        <v>535</v>
      </c>
      <c r="B76" t="s">
        <v>536</v>
      </c>
      <c r="C76" t="s">
        <v>220</v>
      </c>
      <c r="D76" t="s">
        <v>348</v>
      </c>
      <c r="E76" t="s">
        <v>16</v>
      </c>
      <c r="F76" t="s">
        <v>441</v>
      </c>
      <c r="G76" t="s">
        <v>537</v>
      </c>
      <c r="H76" t="s">
        <v>38</v>
      </c>
      <c r="I76" t="s">
        <v>20</v>
      </c>
      <c r="J76">
        <v>26</v>
      </c>
      <c r="K76">
        <v>375</v>
      </c>
      <c r="L76" t="s">
        <v>28</v>
      </c>
    </row>
    <row r="77" spans="1:12" x14ac:dyDescent="0.45">
      <c r="A77" t="s">
        <v>538</v>
      </c>
      <c r="B77" t="s">
        <v>539</v>
      </c>
      <c r="C77" t="s">
        <v>220</v>
      </c>
      <c r="D77" t="s">
        <v>348</v>
      </c>
      <c r="E77" t="s">
        <v>36</v>
      </c>
      <c r="F77" t="s">
        <v>441</v>
      </c>
      <c r="G77" t="s">
        <v>540</v>
      </c>
      <c r="H77" t="s">
        <v>38</v>
      </c>
      <c r="I77" t="s">
        <v>55</v>
      </c>
      <c r="J77">
        <v>5</v>
      </c>
      <c r="K77">
        <v>595</v>
      </c>
      <c r="L77" t="s">
        <v>51</v>
      </c>
    </row>
    <row r="78" spans="1:12" x14ac:dyDescent="0.45">
      <c r="A78" t="s">
        <v>541</v>
      </c>
      <c r="B78" t="s">
        <v>542</v>
      </c>
      <c r="C78" t="s">
        <v>220</v>
      </c>
      <c r="D78" t="s">
        <v>348</v>
      </c>
      <c r="E78" t="s">
        <v>16</v>
      </c>
      <c r="F78" t="s">
        <v>441</v>
      </c>
      <c r="G78" t="s">
        <v>156</v>
      </c>
      <c r="H78" t="s">
        <v>95</v>
      </c>
      <c r="I78" t="s">
        <v>20</v>
      </c>
      <c r="J78">
        <v>17</v>
      </c>
      <c r="K78">
        <v>349</v>
      </c>
      <c r="L78" t="s">
        <v>21</v>
      </c>
    </row>
    <row r="79" spans="1:12" x14ac:dyDescent="0.45">
      <c r="A79" t="s">
        <v>543</v>
      </c>
      <c r="B79" t="s">
        <v>544</v>
      </c>
      <c r="C79" t="s">
        <v>220</v>
      </c>
      <c r="D79" t="s">
        <v>399</v>
      </c>
      <c r="E79" t="s">
        <v>36</v>
      </c>
      <c r="F79" t="s">
        <v>371</v>
      </c>
      <c r="G79" t="s">
        <v>114</v>
      </c>
      <c r="H79" t="s">
        <v>67</v>
      </c>
      <c r="I79" t="s">
        <v>20</v>
      </c>
      <c r="J79">
        <v>8</v>
      </c>
      <c r="K79">
        <v>199</v>
      </c>
      <c r="L79" t="s">
        <v>51</v>
      </c>
    </row>
    <row r="80" spans="1:12" x14ac:dyDescent="0.45">
      <c r="A80" t="s">
        <v>545</v>
      </c>
      <c r="B80" t="s">
        <v>546</v>
      </c>
      <c r="C80" t="s">
        <v>220</v>
      </c>
      <c r="D80" t="s">
        <v>348</v>
      </c>
      <c r="E80" t="s">
        <v>24</v>
      </c>
      <c r="F80" t="s">
        <v>441</v>
      </c>
      <c r="G80" t="s">
        <v>547</v>
      </c>
      <c r="H80" t="s">
        <v>67</v>
      </c>
      <c r="I80" t="s">
        <v>27</v>
      </c>
      <c r="J80">
        <v>2</v>
      </c>
      <c r="K80">
        <v>325</v>
      </c>
      <c r="L80" t="s">
        <v>78</v>
      </c>
    </row>
    <row r="81" spans="1:12" x14ac:dyDescent="0.45">
      <c r="A81" t="s">
        <v>548</v>
      </c>
      <c r="B81" t="s">
        <v>549</v>
      </c>
      <c r="C81" t="s">
        <v>220</v>
      </c>
      <c r="D81" t="s">
        <v>348</v>
      </c>
      <c r="E81" t="s">
        <v>36</v>
      </c>
      <c r="F81" t="s">
        <v>441</v>
      </c>
      <c r="G81" t="s">
        <v>550</v>
      </c>
      <c r="H81" t="s">
        <v>95</v>
      </c>
      <c r="I81" t="s">
        <v>55</v>
      </c>
      <c r="J81">
        <v>10</v>
      </c>
      <c r="K81">
        <v>1299</v>
      </c>
      <c r="L81" t="s">
        <v>39</v>
      </c>
    </row>
    <row r="82" spans="1:12" x14ac:dyDescent="0.45">
      <c r="A82" t="s">
        <v>551</v>
      </c>
      <c r="B82" t="s">
        <v>552</v>
      </c>
      <c r="C82" t="s">
        <v>284</v>
      </c>
      <c r="D82" t="s">
        <v>553</v>
      </c>
      <c r="E82" t="s">
        <v>42</v>
      </c>
      <c r="F82" t="s">
        <v>371</v>
      </c>
      <c r="G82" t="s">
        <v>325</v>
      </c>
      <c r="H82" t="s">
        <v>19</v>
      </c>
      <c r="I82" t="s">
        <v>27</v>
      </c>
      <c r="J82">
        <v>30</v>
      </c>
      <c r="K82">
        <v>4999</v>
      </c>
      <c r="L82" t="s">
        <v>39</v>
      </c>
    </row>
    <row r="83" spans="1:12" x14ac:dyDescent="0.45">
      <c r="A83" t="s">
        <v>554</v>
      </c>
      <c r="B83" t="s">
        <v>555</v>
      </c>
      <c r="C83" t="s">
        <v>284</v>
      </c>
      <c r="D83" t="s">
        <v>553</v>
      </c>
      <c r="E83" t="s">
        <v>16</v>
      </c>
      <c r="F83" t="s">
        <v>371</v>
      </c>
      <c r="G83" t="s">
        <v>153</v>
      </c>
      <c r="H83" t="s">
        <v>26</v>
      </c>
      <c r="I83" t="s">
        <v>27</v>
      </c>
      <c r="J83">
        <v>19</v>
      </c>
      <c r="K83">
        <v>16999</v>
      </c>
      <c r="L83" t="s">
        <v>136</v>
      </c>
    </row>
    <row r="84" spans="1:12" x14ac:dyDescent="0.45">
      <c r="A84" t="s">
        <v>556</v>
      </c>
      <c r="B84" t="s">
        <v>557</v>
      </c>
      <c r="C84" t="s">
        <v>284</v>
      </c>
      <c r="D84" t="s">
        <v>553</v>
      </c>
      <c r="E84" t="s">
        <v>36</v>
      </c>
      <c r="F84" t="s">
        <v>371</v>
      </c>
      <c r="G84" t="s">
        <v>558</v>
      </c>
      <c r="H84" t="s">
        <v>38</v>
      </c>
      <c r="I84" t="s">
        <v>20</v>
      </c>
      <c r="J84">
        <v>5</v>
      </c>
      <c r="K84">
        <v>2499</v>
      </c>
      <c r="L84" t="s">
        <v>51</v>
      </c>
    </row>
    <row r="85" spans="1:12" x14ac:dyDescent="0.45">
      <c r="A85" t="s">
        <v>559</v>
      </c>
      <c r="B85" t="s">
        <v>560</v>
      </c>
      <c r="C85" t="s">
        <v>284</v>
      </c>
      <c r="D85" t="s">
        <v>348</v>
      </c>
      <c r="E85" t="s">
        <v>16</v>
      </c>
      <c r="F85" t="s">
        <v>561</v>
      </c>
      <c r="G85" t="s">
        <v>31</v>
      </c>
      <c r="H85" t="s">
        <v>67</v>
      </c>
      <c r="I85" t="s">
        <v>20</v>
      </c>
      <c r="J85">
        <v>14</v>
      </c>
      <c r="K85">
        <v>1499</v>
      </c>
      <c r="L85" t="s">
        <v>361</v>
      </c>
    </row>
    <row r="86" spans="1:12" x14ac:dyDescent="0.45">
      <c r="A86" t="s">
        <v>562</v>
      </c>
      <c r="B86" t="s">
        <v>563</v>
      </c>
      <c r="C86" t="s">
        <v>284</v>
      </c>
      <c r="D86" t="s">
        <v>348</v>
      </c>
      <c r="E86" t="s">
        <v>42</v>
      </c>
      <c r="F86" t="s">
        <v>561</v>
      </c>
      <c r="G86" t="s">
        <v>394</v>
      </c>
      <c r="H86" t="s">
        <v>67</v>
      </c>
      <c r="I86" t="s">
        <v>27</v>
      </c>
      <c r="J86">
        <v>15</v>
      </c>
      <c r="K86">
        <v>899</v>
      </c>
      <c r="L86" t="s">
        <v>136</v>
      </c>
    </row>
    <row r="87" spans="1:12" x14ac:dyDescent="0.45">
      <c r="A87" t="s">
        <v>564</v>
      </c>
      <c r="B87" t="s">
        <v>565</v>
      </c>
      <c r="C87" t="s">
        <v>284</v>
      </c>
      <c r="D87" t="s">
        <v>348</v>
      </c>
      <c r="E87" t="s">
        <v>16</v>
      </c>
      <c r="F87" t="s">
        <v>561</v>
      </c>
      <c r="G87" t="s">
        <v>88</v>
      </c>
      <c r="H87" t="s">
        <v>38</v>
      </c>
      <c r="I87" t="s">
        <v>20</v>
      </c>
      <c r="J87">
        <v>14</v>
      </c>
      <c r="K87">
        <v>12999</v>
      </c>
      <c r="L87" t="s">
        <v>85</v>
      </c>
    </row>
    <row r="88" spans="1:12" x14ac:dyDescent="0.45">
      <c r="A88" t="s">
        <v>566</v>
      </c>
      <c r="B88" t="s">
        <v>567</v>
      </c>
      <c r="C88" t="s">
        <v>284</v>
      </c>
      <c r="D88" t="s">
        <v>348</v>
      </c>
      <c r="E88" t="s">
        <v>16</v>
      </c>
      <c r="F88" t="s">
        <v>561</v>
      </c>
      <c r="G88" t="s">
        <v>502</v>
      </c>
      <c r="H88" t="s">
        <v>19</v>
      </c>
      <c r="I88" t="s">
        <v>20</v>
      </c>
      <c r="J88">
        <v>20</v>
      </c>
      <c r="K88">
        <v>1299</v>
      </c>
      <c r="L88" t="s">
        <v>166</v>
      </c>
    </row>
    <row r="89" spans="1:12" x14ac:dyDescent="0.45">
      <c r="A89" t="s">
        <v>568</v>
      </c>
      <c r="B89" t="s">
        <v>569</v>
      </c>
      <c r="C89" t="s">
        <v>284</v>
      </c>
      <c r="D89" t="s">
        <v>348</v>
      </c>
      <c r="E89" t="s">
        <v>16</v>
      </c>
      <c r="F89" t="s">
        <v>561</v>
      </c>
      <c r="G89" t="s">
        <v>259</v>
      </c>
      <c r="H89" t="s">
        <v>32</v>
      </c>
      <c r="I89" t="s">
        <v>27</v>
      </c>
      <c r="J89">
        <v>20</v>
      </c>
      <c r="K89">
        <v>3499</v>
      </c>
      <c r="L89" t="s">
        <v>166</v>
      </c>
    </row>
    <row r="90" spans="1:12" x14ac:dyDescent="0.45">
      <c r="A90" t="s">
        <v>570</v>
      </c>
      <c r="B90" t="s">
        <v>571</v>
      </c>
      <c r="C90" t="s">
        <v>284</v>
      </c>
      <c r="D90" t="s">
        <v>348</v>
      </c>
      <c r="E90" t="s">
        <v>36</v>
      </c>
      <c r="F90" t="s">
        <v>561</v>
      </c>
      <c r="G90" t="s">
        <v>230</v>
      </c>
      <c r="H90" t="s">
        <v>26</v>
      </c>
      <c r="I90" t="s">
        <v>20</v>
      </c>
      <c r="J90">
        <v>9</v>
      </c>
      <c r="K90">
        <v>2799</v>
      </c>
      <c r="L90" t="s">
        <v>51</v>
      </c>
    </row>
    <row r="91" spans="1:12" x14ac:dyDescent="0.45">
      <c r="A91" t="s">
        <v>572</v>
      </c>
      <c r="B91" t="s">
        <v>573</v>
      </c>
      <c r="C91" t="s">
        <v>284</v>
      </c>
      <c r="D91" t="s">
        <v>348</v>
      </c>
      <c r="E91" t="s">
        <v>42</v>
      </c>
      <c r="F91" t="s">
        <v>561</v>
      </c>
      <c r="G91" t="s">
        <v>574</v>
      </c>
      <c r="H91" t="s">
        <v>19</v>
      </c>
      <c r="I91" t="s">
        <v>27</v>
      </c>
      <c r="J91">
        <v>14</v>
      </c>
      <c r="K91">
        <v>1999</v>
      </c>
      <c r="L91" t="s">
        <v>39</v>
      </c>
    </row>
    <row r="92" spans="1:12" x14ac:dyDescent="0.45">
      <c r="A92" t="s">
        <v>575</v>
      </c>
      <c r="B92" t="s">
        <v>576</v>
      </c>
      <c r="C92" t="s">
        <v>284</v>
      </c>
      <c r="D92" t="s">
        <v>348</v>
      </c>
      <c r="E92" t="s">
        <v>24</v>
      </c>
      <c r="F92" t="s">
        <v>561</v>
      </c>
      <c r="G92" t="s">
        <v>465</v>
      </c>
      <c r="H92" t="s">
        <v>67</v>
      </c>
      <c r="I92" t="s">
        <v>20</v>
      </c>
      <c r="J92">
        <v>10</v>
      </c>
      <c r="K92">
        <v>899</v>
      </c>
      <c r="L92" t="s">
        <v>78</v>
      </c>
    </row>
    <row r="93" spans="1:12" x14ac:dyDescent="0.45">
      <c r="A93" t="s">
        <v>577</v>
      </c>
      <c r="B93" t="s">
        <v>578</v>
      </c>
      <c r="C93" t="s">
        <v>284</v>
      </c>
      <c r="D93" t="s">
        <v>348</v>
      </c>
      <c r="E93" t="s">
        <v>24</v>
      </c>
      <c r="F93" t="s">
        <v>561</v>
      </c>
      <c r="G93" t="s">
        <v>335</v>
      </c>
      <c r="H93" t="s">
        <v>32</v>
      </c>
      <c r="I93" t="s">
        <v>27</v>
      </c>
      <c r="J93">
        <v>20</v>
      </c>
      <c r="K93">
        <v>1599</v>
      </c>
      <c r="L93" t="s">
        <v>28</v>
      </c>
    </row>
    <row r="94" spans="1:12" x14ac:dyDescent="0.45">
      <c r="A94" t="s">
        <v>579</v>
      </c>
      <c r="B94" t="s">
        <v>580</v>
      </c>
      <c r="C94" t="s">
        <v>284</v>
      </c>
      <c r="D94" t="s">
        <v>348</v>
      </c>
      <c r="E94" t="s">
        <v>16</v>
      </c>
      <c r="F94" t="s">
        <v>561</v>
      </c>
      <c r="G94" t="s">
        <v>66</v>
      </c>
      <c r="H94" t="s">
        <v>50</v>
      </c>
      <c r="I94" t="s">
        <v>20</v>
      </c>
      <c r="J94">
        <v>30</v>
      </c>
      <c r="K94">
        <v>249</v>
      </c>
      <c r="L94" t="s">
        <v>214</v>
      </c>
    </row>
    <row r="95" spans="1:12" x14ac:dyDescent="0.45">
      <c r="A95" t="s">
        <v>581</v>
      </c>
      <c r="B95" t="s">
        <v>582</v>
      </c>
      <c r="C95" t="s">
        <v>284</v>
      </c>
      <c r="D95" t="s">
        <v>583</v>
      </c>
      <c r="E95" t="s">
        <v>16</v>
      </c>
      <c r="F95" t="s">
        <v>371</v>
      </c>
      <c r="G95" t="s">
        <v>295</v>
      </c>
      <c r="H95" t="s">
        <v>50</v>
      </c>
      <c r="I95" t="s">
        <v>27</v>
      </c>
      <c r="J95">
        <v>20</v>
      </c>
      <c r="K95">
        <v>799</v>
      </c>
      <c r="L95" t="s">
        <v>166</v>
      </c>
    </row>
    <row r="96" spans="1:12" x14ac:dyDescent="0.45">
      <c r="A96" t="s">
        <v>584</v>
      </c>
      <c r="B96" t="s">
        <v>585</v>
      </c>
      <c r="C96" t="s">
        <v>284</v>
      </c>
      <c r="D96" t="s">
        <v>348</v>
      </c>
      <c r="E96" t="s">
        <v>16</v>
      </c>
      <c r="F96" t="s">
        <v>561</v>
      </c>
      <c r="G96" t="s">
        <v>262</v>
      </c>
      <c r="H96" t="s">
        <v>38</v>
      </c>
      <c r="I96" t="s">
        <v>27</v>
      </c>
      <c r="J96">
        <v>29</v>
      </c>
      <c r="K96">
        <v>2499</v>
      </c>
      <c r="L96" t="s">
        <v>163</v>
      </c>
    </row>
    <row r="97" spans="1:12" x14ac:dyDescent="0.45">
      <c r="A97" t="s">
        <v>586</v>
      </c>
      <c r="B97" t="s">
        <v>587</v>
      </c>
      <c r="C97" t="s">
        <v>310</v>
      </c>
      <c r="D97" t="s">
        <v>588</v>
      </c>
      <c r="E97" t="s">
        <v>36</v>
      </c>
      <c r="F97" t="s">
        <v>371</v>
      </c>
      <c r="G97" t="s">
        <v>465</v>
      </c>
      <c r="H97" t="s">
        <v>95</v>
      </c>
      <c r="I97" t="s">
        <v>55</v>
      </c>
      <c r="J97">
        <v>8</v>
      </c>
      <c r="K97">
        <v>8995</v>
      </c>
      <c r="L97" t="s">
        <v>51</v>
      </c>
    </row>
    <row r="98" spans="1:12" x14ac:dyDescent="0.45">
      <c r="A98" t="s">
        <v>589</v>
      </c>
      <c r="B98" t="s">
        <v>590</v>
      </c>
      <c r="C98" t="s">
        <v>310</v>
      </c>
      <c r="D98" t="s">
        <v>588</v>
      </c>
      <c r="E98" t="s">
        <v>42</v>
      </c>
      <c r="F98" t="s">
        <v>371</v>
      </c>
      <c r="G98" t="s">
        <v>108</v>
      </c>
      <c r="H98" t="s">
        <v>67</v>
      </c>
      <c r="I98" t="s">
        <v>27</v>
      </c>
      <c r="J98">
        <v>10</v>
      </c>
      <c r="K98">
        <v>1895</v>
      </c>
      <c r="L98" t="s">
        <v>145</v>
      </c>
    </row>
    <row r="99" spans="1:12" x14ac:dyDescent="0.45">
      <c r="A99" t="s">
        <v>591</v>
      </c>
      <c r="B99" t="s">
        <v>592</v>
      </c>
      <c r="C99" t="s">
        <v>310</v>
      </c>
      <c r="D99" t="s">
        <v>505</v>
      </c>
      <c r="E99" t="s">
        <v>42</v>
      </c>
      <c r="F99" t="s">
        <v>371</v>
      </c>
      <c r="G99" t="s">
        <v>111</v>
      </c>
      <c r="H99" t="s">
        <v>62</v>
      </c>
      <c r="I99" t="s">
        <v>27</v>
      </c>
      <c r="J99">
        <v>24</v>
      </c>
      <c r="K99">
        <v>1799</v>
      </c>
      <c r="L99" t="s">
        <v>63</v>
      </c>
    </row>
    <row r="100" spans="1:12" x14ac:dyDescent="0.45">
      <c r="A100" t="s">
        <v>593</v>
      </c>
      <c r="B100" t="s">
        <v>594</v>
      </c>
      <c r="C100" t="s">
        <v>310</v>
      </c>
      <c r="D100" t="s">
        <v>505</v>
      </c>
      <c r="E100" t="s">
        <v>16</v>
      </c>
      <c r="F100" t="s">
        <v>371</v>
      </c>
      <c r="G100" t="s">
        <v>402</v>
      </c>
      <c r="H100" t="s">
        <v>95</v>
      </c>
      <c r="I100" t="s">
        <v>20</v>
      </c>
      <c r="J100">
        <v>24</v>
      </c>
      <c r="K100">
        <v>6999</v>
      </c>
      <c r="L100" t="s">
        <v>51</v>
      </c>
    </row>
    <row r="101" spans="1:12" x14ac:dyDescent="0.45">
      <c r="A101" t="s">
        <v>595</v>
      </c>
      <c r="B101" t="s">
        <v>596</v>
      </c>
      <c r="C101" t="s">
        <v>310</v>
      </c>
      <c r="D101" t="s">
        <v>348</v>
      </c>
      <c r="E101" t="s">
        <v>16</v>
      </c>
      <c r="F101" t="s">
        <v>441</v>
      </c>
      <c r="G101" t="s">
        <v>156</v>
      </c>
      <c r="H101" t="s">
        <v>38</v>
      </c>
      <c r="I101" t="s">
        <v>27</v>
      </c>
      <c r="J101">
        <v>15</v>
      </c>
      <c r="K101">
        <v>1499</v>
      </c>
      <c r="L101" t="s">
        <v>126</v>
      </c>
    </row>
    <row r="102" spans="1:12" x14ac:dyDescent="0.45">
      <c r="A102" t="s">
        <v>597</v>
      </c>
      <c r="B102" t="s">
        <v>598</v>
      </c>
      <c r="C102" t="s">
        <v>310</v>
      </c>
      <c r="D102" t="s">
        <v>348</v>
      </c>
      <c r="E102" t="s">
        <v>36</v>
      </c>
      <c r="F102" t="s">
        <v>441</v>
      </c>
      <c r="G102" t="s">
        <v>205</v>
      </c>
      <c r="H102" t="s">
        <v>50</v>
      </c>
      <c r="I102" t="s">
        <v>55</v>
      </c>
      <c r="J102">
        <v>9</v>
      </c>
      <c r="K102">
        <v>2199</v>
      </c>
      <c r="L102" t="s">
        <v>39</v>
      </c>
    </row>
    <row r="103" spans="1:12" x14ac:dyDescent="0.45">
      <c r="A103" t="s">
        <v>599</v>
      </c>
      <c r="B103" t="s">
        <v>600</v>
      </c>
      <c r="C103" t="s">
        <v>310</v>
      </c>
      <c r="D103" t="s">
        <v>348</v>
      </c>
      <c r="E103" t="s">
        <v>36</v>
      </c>
      <c r="F103" t="s">
        <v>441</v>
      </c>
      <c r="G103" t="s">
        <v>453</v>
      </c>
      <c r="H103" t="s">
        <v>50</v>
      </c>
      <c r="I103" t="s">
        <v>55</v>
      </c>
      <c r="J103">
        <v>4</v>
      </c>
      <c r="K103">
        <v>1899</v>
      </c>
      <c r="L103" t="s">
        <v>39</v>
      </c>
    </row>
    <row r="104" spans="1:12" x14ac:dyDescent="0.45">
      <c r="A104" t="s">
        <v>601</v>
      </c>
      <c r="B104" t="s">
        <v>602</v>
      </c>
      <c r="C104" t="s">
        <v>310</v>
      </c>
      <c r="D104" t="s">
        <v>348</v>
      </c>
      <c r="E104" t="s">
        <v>36</v>
      </c>
      <c r="F104" t="s">
        <v>441</v>
      </c>
      <c r="G104" t="s">
        <v>537</v>
      </c>
      <c r="H104" t="s">
        <v>26</v>
      </c>
      <c r="I104" t="s">
        <v>55</v>
      </c>
      <c r="J104">
        <v>10</v>
      </c>
      <c r="K104">
        <v>34990</v>
      </c>
      <c r="L104" t="s">
        <v>39</v>
      </c>
    </row>
    <row r="105" spans="1:12" x14ac:dyDescent="0.45">
      <c r="A105" t="s">
        <v>603</v>
      </c>
      <c r="B105" t="s">
        <v>604</v>
      </c>
      <c r="C105" t="s">
        <v>310</v>
      </c>
      <c r="D105" t="s">
        <v>399</v>
      </c>
      <c r="E105" t="s">
        <v>42</v>
      </c>
      <c r="F105" t="s">
        <v>371</v>
      </c>
      <c r="G105" t="s">
        <v>383</v>
      </c>
      <c r="H105" t="s">
        <v>50</v>
      </c>
      <c r="I105" t="s">
        <v>27</v>
      </c>
      <c r="J105">
        <v>26</v>
      </c>
      <c r="K105">
        <v>49900</v>
      </c>
      <c r="L105" t="s">
        <v>214</v>
      </c>
    </row>
    <row r="106" spans="1:12" x14ac:dyDescent="0.45">
      <c r="A106" t="s">
        <v>605</v>
      </c>
      <c r="B106" t="s">
        <v>606</v>
      </c>
      <c r="C106" t="s">
        <v>310</v>
      </c>
      <c r="D106" t="s">
        <v>348</v>
      </c>
      <c r="E106" t="s">
        <v>24</v>
      </c>
      <c r="F106" t="s">
        <v>349</v>
      </c>
      <c r="G106" t="s">
        <v>574</v>
      </c>
      <c r="H106" t="s">
        <v>26</v>
      </c>
      <c r="I106" t="s">
        <v>27</v>
      </c>
      <c r="J106">
        <v>19</v>
      </c>
      <c r="K106">
        <v>29990</v>
      </c>
      <c r="L106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6"/>
  <sheetViews>
    <sheetView zoomScaleNormal="100" workbookViewId="0"/>
  </sheetViews>
  <sheetFormatPr defaultColWidth="8.6640625" defaultRowHeight="14.25" x14ac:dyDescent="0.45"/>
  <cols>
    <col min="1" max="1" width="12" customWidth="1"/>
    <col min="2" max="2" width="40" customWidth="1"/>
    <col min="3" max="3" width="20" customWidth="1"/>
    <col min="4" max="4" width="18" customWidth="1"/>
    <col min="5" max="5" width="22" customWidth="1"/>
    <col min="6" max="6" width="20" customWidth="1"/>
    <col min="7" max="7" width="15" customWidth="1"/>
    <col min="8" max="8" width="18" customWidth="1"/>
    <col min="9" max="9" width="12" customWidth="1"/>
    <col min="10" max="11" width="15" customWidth="1"/>
    <col min="12" max="12" width="45" customWidth="1"/>
  </cols>
  <sheetData>
    <row r="1" spans="1:12" x14ac:dyDescent="0.4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45">
      <c r="A2" t="s">
        <v>137</v>
      </c>
      <c r="B2" t="s">
        <v>138</v>
      </c>
      <c r="C2" t="s">
        <v>133</v>
      </c>
      <c r="D2" t="s">
        <v>15</v>
      </c>
      <c r="E2" t="s">
        <v>16</v>
      </c>
      <c r="F2" t="s">
        <v>134</v>
      </c>
      <c r="G2" t="s">
        <v>139</v>
      </c>
      <c r="H2" t="s">
        <v>50</v>
      </c>
      <c r="I2" t="s">
        <v>27</v>
      </c>
      <c r="J2">
        <v>30</v>
      </c>
      <c r="K2">
        <v>52</v>
      </c>
      <c r="L2" t="s">
        <v>39</v>
      </c>
    </row>
    <row r="3" spans="1:12" x14ac:dyDescent="0.45">
      <c r="A3" t="s">
        <v>413</v>
      </c>
      <c r="B3" t="s">
        <v>414</v>
      </c>
      <c r="C3" t="s">
        <v>14</v>
      </c>
      <c r="D3" t="s">
        <v>415</v>
      </c>
      <c r="E3" t="s">
        <v>16</v>
      </c>
      <c r="F3" t="s">
        <v>371</v>
      </c>
      <c r="G3" t="s">
        <v>402</v>
      </c>
      <c r="H3" t="s">
        <v>95</v>
      </c>
      <c r="I3" t="s">
        <v>27</v>
      </c>
      <c r="J3">
        <v>30</v>
      </c>
      <c r="K3">
        <v>8995</v>
      </c>
      <c r="L3" t="s">
        <v>28</v>
      </c>
    </row>
    <row r="4" spans="1:12" x14ac:dyDescent="0.45">
      <c r="A4" t="s">
        <v>411</v>
      </c>
      <c r="B4" t="s">
        <v>412</v>
      </c>
      <c r="C4" t="s">
        <v>14</v>
      </c>
      <c r="D4" t="s">
        <v>348</v>
      </c>
      <c r="E4" s="13" t="s">
        <v>42</v>
      </c>
      <c r="F4" t="s">
        <v>349</v>
      </c>
      <c r="G4" t="s">
        <v>205</v>
      </c>
      <c r="H4" t="s">
        <v>26</v>
      </c>
      <c r="I4" t="s">
        <v>27</v>
      </c>
      <c r="J4">
        <v>30</v>
      </c>
      <c r="K4">
        <v>37990</v>
      </c>
      <c r="L4" t="s">
        <v>119</v>
      </c>
    </row>
    <row r="5" spans="1:12" x14ac:dyDescent="0.45">
      <c r="A5" t="s">
        <v>433</v>
      </c>
      <c r="B5" t="s">
        <v>434</v>
      </c>
      <c r="C5" t="s">
        <v>14</v>
      </c>
      <c r="D5" t="s">
        <v>348</v>
      </c>
      <c r="E5" s="13" t="s">
        <v>42</v>
      </c>
      <c r="F5" t="s">
        <v>349</v>
      </c>
      <c r="G5" t="s">
        <v>435</v>
      </c>
      <c r="H5" t="s">
        <v>67</v>
      </c>
      <c r="I5" t="s">
        <v>27</v>
      </c>
      <c r="J5">
        <v>30</v>
      </c>
      <c r="K5">
        <v>3999</v>
      </c>
      <c r="L5" t="s">
        <v>33</v>
      </c>
    </row>
    <row r="6" spans="1:12" x14ac:dyDescent="0.45">
      <c r="A6" t="s">
        <v>355</v>
      </c>
      <c r="B6" t="s">
        <v>356</v>
      </c>
      <c r="C6" t="s">
        <v>14</v>
      </c>
      <c r="D6" t="s">
        <v>348</v>
      </c>
      <c r="E6" s="13" t="s">
        <v>42</v>
      </c>
      <c r="F6" t="s">
        <v>349</v>
      </c>
      <c r="G6" t="s">
        <v>357</v>
      </c>
      <c r="H6" t="s">
        <v>26</v>
      </c>
      <c r="I6" t="s">
        <v>27</v>
      </c>
      <c r="J6">
        <v>30</v>
      </c>
      <c r="K6">
        <v>41900</v>
      </c>
      <c r="L6" t="s">
        <v>74</v>
      </c>
    </row>
    <row r="7" spans="1:12" x14ac:dyDescent="0.45">
      <c r="A7" t="s">
        <v>336</v>
      </c>
      <c r="B7" t="s">
        <v>337</v>
      </c>
      <c r="C7" t="s">
        <v>310</v>
      </c>
      <c r="D7" t="s">
        <v>15</v>
      </c>
      <c r="E7" s="13" t="s">
        <v>42</v>
      </c>
      <c r="F7" t="s">
        <v>17</v>
      </c>
      <c r="G7" t="s">
        <v>338</v>
      </c>
      <c r="H7" t="s">
        <v>19</v>
      </c>
      <c r="I7" t="s">
        <v>27</v>
      </c>
      <c r="J7">
        <v>30</v>
      </c>
      <c r="K7">
        <v>2799</v>
      </c>
      <c r="L7" t="s">
        <v>136</v>
      </c>
    </row>
    <row r="8" spans="1:12" x14ac:dyDescent="0.45">
      <c r="A8" t="s">
        <v>551</v>
      </c>
      <c r="B8" t="s">
        <v>552</v>
      </c>
      <c r="C8" t="s">
        <v>284</v>
      </c>
      <c r="D8" t="s">
        <v>553</v>
      </c>
      <c r="E8" s="13" t="s">
        <v>42</v>
      </c>
      <c r="F8" t="s">
        <v>371</v>
      </c>
      <c r="G8" t="s">
        <v>325</v>
      </c>
      <c r="H8" t="s">
        <v>19</v>
      </c>
      <c r="I8" t="s">
        <v>27</v>
      </c>
      <c r="J8">
        <v>30</v>
      </c>
      <c r="K8">
        <v>4999</v>
      </c>
      <c r="L8" t="s">
        <v>39</v>
      </c>
    </row>
    <row r="9" spans="1:12" x14ac:dyDescent="0.45">
      <c r="A9" t="s">
        <v>518</v>
      </c>
      <c r="B9" t="s">
        <v>519</v>
      </c>
      <c r="C9" t="s">
        <v>220</v>
      </c>
      <c r="D9" t="s">
        <v>399</v>
      </c>
      <c r="E9" t="s">
        <v>16</v>
      </c>
      <c r="F9" t="s">
        <v>371</v>
      </c>
      <c r="G9" t="s">
        <v>520</v>
      </c>
      <c r="H9" t="s">
        <v>38</v>
      </c>
      <c r="I9" t="s">
        <v>27</v>
      </c>
      <c r="J9">
        <v>30</v>
      </c>
      <c r="K9">
        <v>1095</v>
      </c>
      <c r="L9" t="s">
        <v>39</v>
      </c>
    </row>
    <row r="10" spans="1:12" x14ac:dyDescent="0.45">
      <c r="A10" t="s">
        <v>422</v>
      </c>
      <c r="B10" t="s">
        <v>423</v>
      </c>
      <c r="C10" t="s">
        <v>14</v>
      </c>
      <c r="D10" t="s">
        <v>348</v>
      </c>
      <c r="E10" t="s">
        <v>16</v>
      </c>
      <c r="F10" t="s">
        <v>349</v>
      </c>
      <c r="G10" t="s">
        <v>111</v>
      </c>
      <c r="H10" t="s">
        <v>19</v>
      </c>
      <c r="I10" t="s">
        <v>27</v>
      </c>
      <c r="J10">
        <v>30</v>
      </c>
      <c r="K10">
        <v>2799</v>
      </c>
      <c r="L10" t="s">
        <v>163</v>
      </c>
    </row>
    <row r="11" spans="1:12" x14ac:dyDescent="0.45">
      <c r="A11" t="s">
        <v>282</v>
      </c>
      <c r="B11" t="s">
        <v>283</v>
      </c>
      <c r="C11" t="s">
        <v>284</v>
      </c>
      <c r="D11" t="s">
        <v>15</v>
      </c>
      <c r="E11" s="13" t="s">
        <v>42</v>
      </c>
      <c r="F11" t="s">
        <v>17</v>
      </c>
      <c r="G11" t="s">
        <v>285</v>
      </c>
      <c r="H11" t="s">
        <v>19</v>
      </c>
      <c r="I11" t="s">
        <v>27</v>
      </c>
      <c r="J11">
        <v>30</v>
      </c>
      <c r="K11">
        <v>699</v>
      </c>
      <c r="L11" t="s">
        <v>39</v>
      </c>
    </row>
    <row r="12" spans="1:12" x14ac:dyDescent="0.45">
      <c r="A12" t="s">
        <v>96</v>
      </c>
      <c r="B12" t="s">
        <v>97</v>
      </c>
      <c r="C12" t="s">
        <v>14</v>
      </c>
      <c r="D12" t="s">
        <v>15</v>
      </c>
      <c r="E12" t="s">
        <v>16</v>
      </c>
      <c r="F12" t="s">
        <v>17</v>
      </c>
      <c r="G12" t="s">
        <v>98</v>
      </c>
      <c r="H12" t="s">
        <v>67</v>
      </c>
      <c r="I12" t="s">
        <v>27</v>
      </c>
      <c r="J12">
        <v>29</v>
      </c>
      <c r="K12">
        <v>799</v>
      </c>
      <c r="L12" t="s">
        <v>74</v>
      </c>
    </row>
    <row r="13" spans="1:12" x14ac:dyDescent="0.45">
      <c r="A13" t="s">
        <v>584</v>
      </c>
      <c r="B13" t="s">
        <v>585</v>
      </c>
      <c r="C13" t="s">
        <v>284</v>
      </c>
      <c r="D13" t="s">
        <v>348</v>
      </c>
      <c r="E13" t="s">
        <v>16</v>
      </c>
      <c r="F13" t="s">
        <v>561</v>
      </c>
      <c r="G13" t="s">
        <v>262</v>
      </c>
      <c r="H13" t="s">
        <v>38</v>
      </c>
      <c r="I13" t="s">
        <v>27</v>
      </c>
      <c r="J13">
        <v>29</v>
      </c>
      <c r="K13">
        <v>2499</v>
      </c>
      <c r="L13" t="s">
        <v>163</v>
      </c>
    </row>
    <row r="14" spans="1:12" x14ac:dyDescent="0.45">
      <c r="A14" t="s">
        <v>351</v>
      </c>
      <c r="B14" t="s">
        <v>352</v>
      </c>
      <c r="C14" t="s">
        <v>14</v>
      </c>
      <c r="D14" t="s">
        <v>348</v>
      </c>
      <c r="E14" t="s">
        <v>16</v>
      </c>
      <c r="F14" t="s">
        <v>349</v>
      </c>
      <c r="G14" t="s">
        <v>191</v>
      </c>
      <c r="H14" t="s">
        <v>95</v>
      </c>
      <c r="I14" t="s">
        <v>27</v>
      </c>
      <c r="J14">
        <v>29</v>
      </c>
      <c r="K14">
        <v>69900</v>
      </c>
      <c r="L14" t="s">
        <v>78</v>
      </c>
    </row>
    <row r="15" spans="1:12" x14ac:dyDescent="0.45">
      <c r="A15" t="s">
        <v>167</v>
      </c>
      <c r="B15" t="s">
        <v>168</v>
      </c>
      <c r="C15" t="s">
        <v>133</v>
      </c>
      <c r="D15" t="s">
        <v>15</v>
      </c>
      <c r="E15" s="13" t="s">
        <v>42</v>
      </c>
      <c r="F15" t="s">
        <v>134</v>
      </c>
      <c r="G15" t="s">
        <v>169</v>
      </c>
      <c r="H15" t="s">
        <v>62</v>
      </c>
      <c r="I15" t="s">
        <v>27</v>
      </c>
      <c r="J15">
        <v>29</v>
      </c>
      <c r="K15">
        <v>32</v>
      </c>
      <c r="L15" t="s">
        <v>39</v>
      </c>
    </row>
    <row r="16" spans="1:12" x14ac:dyDescent="0.45">
      <c r="A16" t="s">
        <v>184</v>
      </c>
      <c r="B16" t="s">
        <v>185</v>
      </c>
      <c r="C16" t="s">
        <v>133</v>
      </c>
      <c r="D16" t="s">
        <v>15</v>
      </c>
      <c r="E16" s="13" t="s">
        <v>42</v>
      </c>
      <c r="F16" t="s">
        <v>134</v>
      </c>
      <c r="G16" t="s">
        <v>156</v>
      </c>
      <c r="H16" t="s">
        <v>67</v>
      </c>
      <c r="I16" t="s">
        <v>27</v>
      </c>
      <c r="J16">
        <v>28</v>
      </c>
      <c r="K16">
        <v>95</v>
      </c>
      <c r="L16" t="s">
        <v>39</v>
      </c>
    </row>
    <row r="17" spans="1:12" x14ac:dyDescent="0.45">
      <c r="A17" t="s">
        <v>483</v>
      </c>
      <c r="B17" t="s">
        <v>484</v>
      </c>
      <c r="C17" t="s">
        <v>133</v>
      </c>
      <c r="D17" t="s">
        <v>464</v>
      </c>
      <c r="E17" s="13" t="s">
        <v>42</v>
      </c>
      <c r="F17" t="s">
        <v>371</v>
      </c>
      <c r="G17" t="s">
        <v>81</v>
      </c>
      <c r="H17" t="s">
        <v>50</v>
      </c>
      <c r="I17" t="s">
        <v>27</v>
      </c>
      <c r="J17">
        <v>28</v>
      </c>
      <c r="K17">
        <v>375</v>
      </c>
      <c r="L17" t="s">
        <v>214</v>
      </c>
    </row>
    <row r="18" spans="1:12" x14ac:dyDescent="0.45">
      <c r="A18" t="s">
        <v>218</v>
      </c>
      <c r="B18" t="s">
        <v>219</v>
      </c>
      <c r="C18" t="s">
        <v>220</v>
      </c>
      <c r="D18" t="s">
        <v>15</v>
      </c>
      <c r="E18" t="s">
        <v>16</v>
      </c>
      <c r="F18" t="s">
        <v>221</v>
      </c>
      <c r="G18" t="s">
        <v>135</v>
      </c>
      <c r="H18" t="s">
        <v>19</v>
      </c>
      <c r="I18" t="s">
        <v>27</v>
      </c>
      <c r="J18">
        <v>27</v>
      </c>
      <c r="K18">
        <v>599</v>
      </c>
      <c r="L18" t="s">
        <v>222</v>
      </c>
    </row>
    <row r="19" spans="1:12" x14ac:dyDescent="0.45">
      <c r="A19" t="s">
        <v>485</v>
      </c>
      <c r="B19" t="s">
        <v>486</v>
      </c>
      <c r="C19" t="s">
        <v>133</v>
      </c>
      <c r="D19" t="s">
        <v>348</v>
      </c>
      <c r="E19" s="13" t="s">
        <v>42</v>
      </c>
      <c r="F19" t="s">
        <v>441</v>
      </c>
      <c r="G19" t="s">
        <v>125</v>
      </c>
      <c r="H19" t="s">
        <v>38</v>
      </c>
      <c r="I19" t="s">
        <v>27</v>
      </c>
      <c r="J19">
        <v>27</v>
      </c>
      <c r="K19">
        <v>299</v>
      </c>
      <c r="L19" t="s">
        <v>136</v>
      </c>
    </row>
    <row r="20" spans="1:12" x14ac:dyDescent="0.45">
      <c r="A20" t="s">
        <v>333</v>
      </c>
      <c r="B20" t="s">
        <v>334</v>
      </c>
      <c r="C20" t="s">
        <v>310</v>
      </c>
      <c r="D20" t="s">
        <v>15</v>
      </c>
      <c r="E20" s="13" t="s">
        <v>42</v>
      </c>
      <c r="F20" t="s">
        <v>17</v>
      </c>
      <c r="G20" t="s">
        <v>335</v>
      </c>
      <c r="H20" t="s">
        <v>38</v>
      </c>
      <c r="I20" t="s">
        <v>27</v>
      </c>
      <c r="J20">
        <v>27</v>
      </c>
      <c r="K20">
        <v>2399</v>
      </c>
      <c r="L20" t="s">
        <v>119</v>
      </c>
    </row>
    <row r="21" spans="1:12" x14ac:dyDescent="0.45">
      <c r="A21" t="s">
        <v>280</v>
      </c>
      <c r="B21" t="s">
        <v>281</v>
      </c>
      <c r="C21" t="s">
        <v>220</v>
      </c>
      <c r="D21" t="s">
        <v>15</v>
      </c>
      <c r="E21" t="s">
        <v>16</v>
      </c>
      <c r="F21" t="s">
        <v>221</v>
      </c>
      <c r="G21" t="s">
        <v>271</v>
      </c>
      <c r="H21" t="s">
        <v>38</v>
      </c>
      <c r="I21" t="s">
        <v>27</v>
      </c>
      <c r="J21">
        <v>26</v>
      </c>
      <c r="K21">
        <v>99</v>
      </c>
      <c r="L21" t="s">
        <v>130</v>
      </c>
    </row>
    <row r="22" spans="1:12" x14ac:dyDescent="0.45">
      <c r="A22" t="s">
        <v>603</v>
      </c>
      <c r="B22" t="s">
        <v>604</v>
      </c>
      <c r="C22" t="s">
        <v>310</v>
      </c>
      <c r="D22" t="s">
        <v>399</v>
      </c>
      <c r="E22" s="13" t="s">
        <v>42</v>
      </c>
      <c r="F22" t="s">
        <v>371</v>
      </c>
      <c r="G22" t="s">
        <v>383</v>
      </c>
      <c r="H22" t="s">
        <v>50</v>
      </c>
      <c r="I22" t="s">
        <v>27</v>
      </c>
      <c r="J22">
        <v>26</v>
      </c>
      <c r="K22">
        <v>49900</v>
      </c>
      <c r="L22" t="s">
        <v>214</v>
      </c>
    </row>
    <row r="23" spans="1:12" x14ac:dyDescent="0.45">
      <c r="A23" t="s">
        <v>181</v>
      </c>
      <c r="B23" t="s">
        <v>182</v>
      </c>
      <c r="C23" t="s">
        <v>133</v>
      </c>
      <c r="D23" t="s">
        <v>15</v>
      </c>
      <c r="E23" t="s">
        <v>16</v>
      </c>
      <c r="F23" t="s">
        <v>134</v>
      </c>
      <c r="G23" t="s">
        <v>183</v>
      </c>
      <c r="H23" t="s">
        <v>26</v>
      </c>
      <c r="I23" t="s">
        <v>27</v>
      </c>
      <c r="J23">
        <v>26</v>
      </c>
      <c r="K23">
        <v>299</v>
      </c>
      <c r="L23" t="s">
        <v>105</v>
      </c>
    </row>
    <row r="24" spans="1:12" x14ac:dyDescent="0.45">
      <c r="A24" t="s">
        <v>238</v>
      </c>
      <c r="B24" t="s">
        <v>239</v>
      </c>
      <c r="C24" t="s">
        <v>220</v>
      </c>
      <c r="D24" t="s">
        <v>15</v>
      </c>
      <c r="E24" s="13" t="s">
        <v>42</v>
      </c>
      <c r="F24" t="s">
        <v>221</v>
      </c>
      <c r="G24" t="s">
        <v>240</v>
      </c>
      <c r="H24" t="s">
        <v>19</v>
      </c>
      <c r="I24" t="s">
        <v>27</v>
      </c>
      <c r="J24">
        <v>26</v>
      </c>
      <c r="K24">
        <v>495</v>
      </c>
      <c r="L24" t="s">
        <v>74</v>
      </c>
    </row>
    <row r="25" spans="1:12" x14ac:dyDescent="0.45">
      <c r="A25" t="s">
        <v>92</v>
      </c>
      <c r="B25" t="s">
        <v>93</v>
      </c>
      <c r="C25" t="s">
        <v>14</v>
      </c>
      <c r="D25" t="s">
        <v>15</v>
      </c>
      <c r="E25" t="s">
        <v>24</v>
      </c>
      <c r="F25" t="s">
        <v>17</v>
      </c>
      <c r="G25" t="s">
        <v>94</v>
      </c>
      <c r="H25" t="s">
        <v>95</v>
      </c>
      <c r="I25" t="s">
        <v>27</v>
      </c>
      <c r="J25">
        <v>25</v>
      </c>
      <c r="K25">
        <v>1199</v>
      </c>
      <c r="L25" t="s">
        <v>39</v>
      </c>
    </row>
    <row r="26" spans="1:12" x14ac:dyDescent="0.45">
      <c r="A26" t="s">
        <v>131</v>
      </c>
      <c r="B26" t="s">
        <v>132</v>
      </c>
      <c r="C26" t="s">
        <v>133</v>
      </c>
      <c r="D26" t="s">
        <v>15</v>
      </c>
      <c r="E26" t="s">
        <v>16</v>
      </c>
      <c r="F26" t="s">
        <v>134</v>
      </c>
      <c r="G26" t="s">
        <v>135</v>
      </c>
      <c r="H26" t="s">
        <v>32</v>
      </c>
      <c r="I26" t="s">
        <v>27</v>
      </c>
      <c r="J26">
        <v>25</v>
      </c>
      <c r="K26">
        <v>45</v>
      </c>
      <c r="L26" t="s">
        <v>136</v>
      </c>
    </row>
    <row r="27" spans="1:12" x14ac:dyDescent="0.45">
      <c r="A27" t="s">
        <v>474</v>
      </c>
      <c r="B27" t="s">
        <v>475</v>
      </c>
      <c r="C27" t="s">
        <v>133</v>
      </c>
      <c r="D27" t="s">
        <v>348</v>
      </c>
      <c r="E27" t="s">
        <v>24</v>
      </c>
      <c r="F27" t="s">
        <v>441</v>
      </c>
      <c r="G27" t="s">
        <v>217</v>
      </c>
      <c r="H27" t="s">
        <v>26</v>
      </c>
      <c r="I27" t="s">
        <v>27</v>
      </c>
      <c r="J27">
        <v>25</v>
      </c>
      <c r="K27">
        <v>75</v>
      </c>
      <c r="L27" t="s">
        <v>21</v>
      </c>
    </row>
    <row r="28" spans="1:12" x14ac:dyDescent="0.45">
      <c r="A28" t="s">
        <v>439</v>
      </c>
      <c r="B28" t="s">
        <v>440</v>
      </c>
      <c r="C28" t="s">
        <v>133</v>
      </c>
      <c r="D28" t="s">
        <v>348</v>
      </c>
      <c r="E28" t="s">
        <v>24</v>
      </c>
      <c r="F28" t="s">
        <v>441</v>
      </c>
      <c r="G28" t="s">
        <v>188</v>
      </c>
      <c r="H28" t="s">
        <v>19</v>
      </c>
      <c r="I28" t="s">
        <v>27</v>
      </c>
      <c r="J28">
        <v>25</v>
      </c>
      <c r="K28">
        <v>365</v>
      </c>
      <c r="L28" t="s">
        <v>145</v>
      </c>
    </row>
    <row r="29" spans="1:12" x14ac:dyDescent="0.45">
      <c r="A29" t="s">
        <v>277</v>
      </c>
      <c r="B29" t="s">
        <v>278</v>
      </c>
      <c r="C29" t="s">
        <v>220</v>
      </c>
      <c r="D29" t="s">
        <v>15</v>
      </c>
      <c r="E29" t="s">
        <v>16</v>
      </c>
      <c r="F29" t="s">
        <v>221</v>
      </c>
      <c r="G29" t="s">
        <v>279</v>
      </c>
      <c r="H29" t="s">
        <v>38</v>
      </c>
      <c r="I29" t="s">
        <v>27</v>
      </c>
      <c r="J29">
        <v>25</v>
      </c>
      <c r="K29">
        <v>175</v>
      </c>
      <c r="L29" t="s">
        <v>51</v>
      </c>
    </row>
    <row r="30" spans="1:12" x14ac:dyDescent="0.45">
      <c r="A30" t="s">
        <v>405</v>
      </c>
      <c r="B30" t="s">
        <v>406</v>
      </c>
      <c r="C30" t="s">
        <v>14</v>
      </c>
      <c r="D30" t="s">
        <v>370</v>
      </c>
      <c r="E30" s="13" t="s">
        <v>42</v>
      </c>
      <c r="F30" t="s">
        <v>371</v>
      </c>
      <c r="G30" t="s">
        <v>407</v>
      </c>
      <c r="H30" t="s">
        <v>95</v>
      </c>
      <c r="I30" t="s">
        <v>27</v>
      </c>
      <c r="J30">
        <v>24</v>
      </c>
      <c r="K30">
        <v>31999</v>
      </c>
      <c r="L30" t="s">
        <v>74</v>
      </c>
    </row>
    <row r="31" spans="1:12" x14ac:dyDescent="0.45">
      <c r="A31" t="s">
        <v>201</v>
      </c>
      <c r="B31" t="s">
        <v>202</v>
      </c>
      <c r="C31" t="s">
        <v>133</v>
      </c>
      <c r="D31" t="s">
        <v>15</v>
      </c>
      <c r="E31" s="13" t="s">
        <v>42</v>
      </c>
      <c r="F31" t="s">
        <v>134</v>
      </c>
      <c r="G31" t="s">
        <v>98</v>
      </c>
      <c r="H31" t="s">
        <v>19</v>
      </c>
      <c r="I31" t="s">
        <v>27</v>
      </c>
      <c r="J31">
        <v>24</v>
      </c>
      <c r="K31">
        <v>22</v>
      </c>
      <c r="L31" t="s">
        <v>145</v>
      </c>
    </row>
    <row r="32" spans="1:12" x14ac:dyDescent="0.45">
      <c r="A32" t="s">
        <v>591</v>
      </c>
      <c r="B32" t="s">
        <v>592</v>
      </c>
      <c r="C32" t="s">
        <v>310</v>
      </c>
      <c r="D32" t="s">
        <v>505</v>
      </c>
      <c r="E32" s="13" t="s">
        <v>42</v>
      </c>
      <c r="F32" t="s">
        <v>371</v>
      </c>
      <c r="G32" t="s">
        <v>111</v>
      </c>
      <c r="H32" t="s">
        <v>62</v>
      </c>
      <c r="I32" t="s">
        <v>27</v>
      </c>
      <c r="J32">
        <v>24</v>
      </c>
      <c r="K32">
        <v>1799</v>
      </c>
      <c r="L32" t="s">
        <v>63</v>
      </c>
    </row>
    <row r="33" spans="1:12" x14ac:dyDescent="0.45">
      <c r="A33" t="s">
        <v>44</v>
      </c>
      <c r="B33" t="s">
        <v>45</v>
      </c>
      <c r="C33" t="s">
        <v>14</v>
      </c>
      <c r="D33" t="s">
        <v>15</v>
      </c>
      <c r="E33" t="s">
        <v>24</v>
      </c>
      <c r="F33" t="s">
        <v>17</v>
      </c>
      <c r="G33" t="s">
        <v>46</v>
      </c>
      <c r="H33" t="s">
        <v>32</v>
      </c>
      <c r="I33" t="s">
        <v>27</v>
      </c>
      <c r="J33">
        <v>23</v>
      </c>
      <c r="K33">
        <v>2499</v>
      </c>
      <c r="L33" t="s">
        <v>28</v>
      </c>
    </row>
    <row r="34" spans="1:12" x14ac:dyDescent="0.45">
      <c r="A34" t="s">
        <v>341</v>
      </c>
      <c r="B34" t="s">
        <v>342</v>
      </c>
      <c r="C34" t="s">
        <v>310</v>
      </c>
      <c r="D34" t="s">
        <v>15</v>
      </c>
      <c r="E34" s="13" t="s">
        <v>42</v>
      </c>
      <c r="F34" t="s">
        <v>17</v>
      </c>
      <c r="G34" t="s">
        <v>129</v>
      </c>
      <c r="H34" t="s">
        <v>26</v>
      </c>
      <c r="I34" t="s">
        <v>27</v>
      </c>
      <c r="J34">
        <v>23</v>
      </c>
      <c r="K34">
        <v>1699</v>
      </c>
      <c r="L34" t="s">
        <v>105</v>
      </c>
    </row>
    <row r="35" spans="1:12" x14ac:dyDescent="0.45">
      <c r="A35" t="s">
        <v>293</v>
      </c>
      <c r="B35" t="s">
        <v>294</v>
      </c>
      <c r="C35" t="s">
        <v>284</v>
      </c>
      <c r="D35" t="s">
        <v>15</v>
      </c>
      <c r="E35" s="13" t="s">
        <v>42</v>
      </c>
      <c r="F35" t="s">
        <v>17</v>
      </c>
      <c r="G35" t="s">
        <v>295</v>
      </c>
      <c r="H35" t="s">
        <v>62</v>
      </c>
      <c r="I35" t="s">
        <v>27</v>
      </c>
      <c r="J35">
        <v>23</v>
      </c>
      <c r="K35">
        <v>349</v>
      </c>
      <c r="L35" t="s">
        <v>119</v>
      </c>
    </row>
    <row r="36" spans="1:12" x14ac:dyDescent="0.45">
      <c r="A36" t="s">
        <v>40</v>
      </c>
      <c r="B36" t="s">
        <v>41</v>
      </c>
      <c r="C36" t="s">
        <v>14</v>
      </c>
      <c r="D36" t="s">
        <v>15</v>
      </c>
      <c r="E36" s="13" t="s">
        <v>42</v>
      </c>
      <c r="F36" t="s">
        <v>17</v>
      </c>
      <c r="G36" t="s">
        <v>43</v>
      </c>
      <c r="H36" t="s">
        <v>19</v>
      </c>
      <c r="I36" t="s">
        <v>27</v>
      </c>
      <c r="J36">
        <v>22</v>
      </c>
      <c r="K36">
        <v>1799</v>
      </c>
      <c r="L36" t="s">
        <v>33</v>
      </c>
    </row>
    <row r="37" spans="1:12" x14ac:dyDescent="0.45">
      <c r="A37" t="s">
        <v>400</v>
      </c>
      <c r="B37" t="s">
        <v>401</v>
      </c>
      <c r="C37" t="s">
        <v>14</v>
      </c>
      <c r="D37" t="s">
        <v>348</v>
      </c>
      <c r="E37" t="s">
        <v>24</v>
      </c>
      <c r="F37" t="s">
        <v>349</v>
      </c>
      <c r="G37" t="s">
        <v>402</v>
      </c>
      <c r="H37" t="s">
        <v>95</v>
      </c>
      <c r="I37" t="s">
        <v>27</v>
      </c>
      <c r="J37">
        <v>22</v>
      </c>
      <c r="K37">
        <v>44999</v>
      </c>
      <c r="L37" t="s">
        <v>85</v>
      </c>
    </row>
    <row r="38" spans="1:12" x14ac:dyDescent="0.45">
      <c r="A38" t="s">
        <v>436</v>
      </c>
      <c r="B38" t="s">
        <v>437</v>
      </c>
      <c r="C38" t="s">
        <v>14</v>
      </c>
      <c r="D38" t="s">
        <v>348</v>
      </c>
      <c r="E38" t="s">
        <v>16</v>
      </c>
      <c r="F38" t="s">
        <v>349</v>
      </c>
      <c r="G38" t="s">
        <v>438</v>
      </c>
      <c r="H38" t="s">
        <v>32</v>
      </c>
      <c r="I38" t="s">
        <v>27</v>
      </c>
      <c r="J38">
        <v>22</v>
      </c>
      <c r="K38">
        <v>4999</v>
      </c>
      <c r="L38" t="s">
        <v>126</v>
      </c>
    </row>
    <row r="39" spans="1:12" x14ac:dyDescent="0.45">
      <c r="A39" t="s">
        <v>343</v>
      </c>
      <c r="B39" t="s">
        <v>344</v>
      </c>
      <c r="C39" t="s">
        <v>310</v>
      </c>
      <c r="D39" t="s">
        <v>15</v>
      </c>
      <c r="E39" t="s">
        <v>24</v>
      </c>
      <c r="F39" t="s">
        <v>17</v>
      </c>
      <c r="G39" t="s">
        <v>345</v>
      </c>
      <c r="H39" t="s">
        <v>62</v>
      </c>
      <c r="I39" t="s">
        <v>27</v>
      </c>
      <c r="J39">
        <v>22</v>
      </c>
      <c r="K39">
        <v>899</v>
      </c>
      <c r="L39" t="s">
        <v>78</v>
      </c>
    </row>
    <row r="40" spans="1:12" x14ac:dyDescent="0.45">
      <c r="A40" t="s">
        <v>379</v>
      </c>
      <c r="B40" t="s">
        <v>380</v>
      </c>
      <c r="C40" t="s">
        <v>14</v>
      </c>
      <c r="D40" t="s">
        <v>348</v>
      </c>
      <c r="E40" s="13" t="s">
        <v>42</v>
      </c>
      <c r="F40" t="s">
        <v>349</v>
      </c>
      <c r="G40" t="s">
        <v>378</v>
      </c>
      <c r="H40" t="s">
        <v>26</v>
      </c>
      <c r="I40" t="s">
        <v>27</v>
      </c>
      <c r="J40">
        <v>22</v>
      </c>
      <c r="K40">
        <v>94990</v>
      </c>
      <c r="L40" t="s">
        <v>222</v>
      </c>
    </row>
    <row r="41" spans="1:12" x14ac:dyDescent="0.45">
      <c r="A41" t="s">
        <v>577</v>
      </c>
      <c r="B41" t="s">
        <v>578</v>
      </c>
      <c r="C41" t="s">
        <v>284</v>
      </c>
      <c r="D41" t="s">
        <v>348</v>
      </c>
      <c r="E41" t="s">
        <v>24</v>
      </c>
      <c r="F41" t="s">
        <v>561</v>
      </c>
      <c r="G41" t="s">
        <v>335</v>
      </c>
      <c r="H41" t="s">
        <v>32</v>
      </c>
      <c r="I41" t="s">
        <v>27</v>
      </c>
      <c r="J41">
        <v>20</v>
      </c>
      <c r="K41">
        <v>1599</v>
      </c>
      <c r="L41" t="s">
        <v>28</v>
      </c>
    </row>
    <row r="42" spans="1:12" x14ac:dyDescent="0.45">
      <c r="A42" t="s">
        <v>568</v>
      </c>
      <c r="B42" t="s">
        <v>569</v>
      </c>
      <c r="C42" t="s">
        <v>284</v>
      </c>
      <c r="D42" t="s">
        <v>348</v>
      </c>
      <c r="E42" t="s">
        <v>16</v>
      </c>
      <c r="F42" t="s">
        <v>561</v>
      </c>
      <c r="G42" t="s">
        <v>259</v>
      </c>
      <c r="H42" t="s">
        <v>32</v>
      </c>
      <c r="I42" t="s">
        <v>27</v>
      </c>
      <c r="J42">
        <v>20</v>
      </c>
      <c r="K42">
        <v>3499</v>
      </c>
      <c r="L42" t="s">
        <v>166</v>
      </c>
    </row>
    <row r="43" spans="1:12" x14ac:dyDescent="0.45">
      <c r="A43" t="s">
        <v>494</v>
      </c>
      <c r="B43" t="s">
        <v>495</v>
      </c>
      <c r="C43" t="s">
        <v>133</v>
      </c>
      <c r="D43" t="s">
        <v>348</v>
      </c>
      <c r="E43" t="s">
        <v>16</v>
      </c>
      <c r="F43" t="s">
        <v>441</v>
      </c>
      <c r="G43" t="s">
        <v>262</v>
      </c>
      <c r="H43" t="s">
        <v>67</v>
      </c>
      <c r="I43" t="s">
        <v>27</v>
      </c>
      <c r="J43">
        <v>20</v>
      </c>
      <c r="K43">
        <v>565</v>
      </c>
      <c r="L43" t="s">
        <v>39</v>
      </c>
    </row>
    <row r="44" spans="1:12" x14ac:dyDescent="0.45">
      <c r="A44" t="s">
        <v>581</v>
      </c>
      <c r="B44" t="s">
        <v>582</v>
      </c>
      <c r="C44" t="s">
        <v>284</v>
      </c>
      <c r="D44" t="s">
        <v>583</v>
      </c>
      <c r="E44" t="s">
        <v>16</v>
      </c>
      <c r="F44" t="s">
        <v>371</v>
      </c>
      <c r="G44" t="s">
        <v>295</v>
      </c>
      <c r="H44" t="s">
        <v>50</v>
      </c>
      <c r="I44" t="s">
        <v>27</v>
      </c>
      <c r="J44">
        <v>20</v>
      </c>
      <c r="K44">
        <v>799</v>
      </c>
      <c r="L44" t="s">
        <v>166</v>
      </c>
    </row>
    <row r="45" spans="1:12" x14ac:dyDescent="0.45">
      <c r="A45" t="s">
        <v>605</v>
      </c>
      <c r="B45" t="s">
        <v>606</v>
      </c>
      <c r="C45" t="s">
        <v>310</v>
      </c>
      <c r="D45" t="s">
        <v>348</v>
      </c>
      <c r="E45" t="s">
        <v>24</v>
      </c>
      <c r="F45" t="s">
        <v>349</v>
      </c>
      <c r="G45" t="s">
        <v>574</v>
      </c>
      <c r="H45" t="s">
        <v>26</v>
      </c>
      <c r="I45" t="s">
        <v>27</v>
      </c>
      <c r="J45">
        <v>19</v>
      </c>
      <c r="K45">
        <v>29990</v>
      </c>
      <c r="L45" t="s">
        <v>63</v>
      </c>
    </row>
    <row r="46" spans="1:12" x14ac:dyDescent="0.45">
      <c r="A46" t="s">
        <v>554</v>
      </c>
      <c r="B46" t="s">
        <v>555</v>
      </c>
      <c r="C46" t="s">
        <v>284</v>
      </c>
      <c r="D46" t="s">
        <v>553</v>
      </c>
      <c r="E46" t="s">
        <v>16</v>
      </c>
      <c r="F46" t="s">
        <v>371</v>
      </c>
      <c r="G46" t="s">
        <v>153</v>
      </c>
      <c r="H46" t="s">
        <v>26</v>
      </c>
      <c r="I46" t="s">
        <v>27</v>
      </c>
      <c r="J46">
        <v>19</v>
      </c>
      <c r="K46">
        <v>16999</v>
      </c>
      <c r="L46" t="s">
        <v>136</v>
      </c>
    </row>
    <row r="47" spans="1:12" x14ac:dyDescent="0.45">
      <c r="A47" t="s">
        <v>209</v>
      </c>
      <c r="B47" t="s">
        <v>210</v>
      </c>
      <c r="C47" t="s">
        <v>133</v>
      </c>
      <c r="D47" t="s">
        <v>15</v>
      </c>
      <c r="E47" s="13" t="s">
        <v>42</v>
      </c>
      <c r="F47" t="s">
        <v>134</v>
      </c>
      <c r="G47" t="s">
        <v>211</v>
      </c>
      <c r="H47" t="s">
        <v>19</v>
      </c>
      <c r="I47" t="s">
        <v>27</v>
      </c>
      <c r="J47">
        <v>19</v>
      </c>
      <c r="K47">
        <v>285</v>
      </c>
      <c r="L47" t="s">
        <v>74</v>
      </c>
    </row>
    <row r="48" spans="1:12" x14ac:dyDescent="0.45">
      <c r="A48" t="s">
        <v>426</v>
      </c>
      <c r="B48" t="s">
        <v>427</v>
      </c>
      <c r="C48" t="s">
        <v>14</v>
      </c>
      <c r="D48" t="s">
        <v>348</v>
      </c>
      <c r="E48" s="13" t="s">
        <v>42</v>
      </c>
      <c r="F48" t="s">
        <v>349</v>
      </c>
      <c r="G48" t="s">
        <v>428</v>
      </c>
      <c r="H48" t="s">
        <v>62</v>
      </c>
      <c r="I48" t="s">
        <v>27</v>
      </c>
      <c r="J48">
        <v>19</v>
      </c>
      <c r="K48">
        <v>5499</v>
      </c>
      <c r="L48" t="s">
        <v>119</v>
      </c>
    </row>
    <row r="49" spans="1:12" x14ac:dyDescent="0.45">
      <c r="A49" t="s">
        <v>533</v>
      </c>
      <c r="B49" t="s">
        <v>534</v>
      </c>
      <c r="C49" t="s">
        <v>220</v>
      </c>
      <c r="D49" t="s">
        <v>399</v>
      </c>
      <c r="E49" s="13" t="s">
        <v>42</v>
      </c>
      <c r="F49" t="s">
        <v>371</v>
      </c>
      <c r="G49" t="s">
        <v>350</v>
      </c>
      <c r="H49" t="s">
        <v>19</v>
      </c>
      <c r="I49" t="s">
        <v>27</v>
      </c>
      <c r="J49">
        <v>18</v>
      </c>
      <c r="K49">
        <v>399</v>
      </c>
      <c r="L49" t="s">
        <v>222</v>
      </c>
    </row>
    <row r="50" spans="1:12" x14ac:dyDescent="0.45">
      <c r="A50" t="s">
        <v>146</v>
      </c>
      <c r="B50" t="s">
        <v>147</v>
      </c>
      <c r="C50" t="s">
        <v>133</v>
      </c>
      <c r="D50" t="s">
        <v>15</v>
      </c>
      <c r="E50" t="s">
        <v>24</v>
      </c>
      <c r="F50" t="s">
        <v>134</v>
      </c>
      <c r="G50" t="s">
        <v>148</v>
      </c>
      <c r="H50" t="s">
        <v>26</v>
      </c>
      <c r="I50" t="s">
        <v>27</v>
      </c>
      <c r="J50">
        <v>18</v>
      </c>
      <c r="K50">
        <v>285</v>
      </c>
      <c r="L50" t="s">
        <v>74</v>
      </c>
    </row>
    <row r="51" spans="1:12" x14ac:dyDescent="0.45">
      <c r="A51" t="s">
        <v>496</v>
      </c>
      <c r="B51" t="s">
        <v>497</v>
      </c>
      <c r="C51" t="s">
        <v>133</v>
      </c>
      <c r="D51" t="s">
        <v>348</v>
      </c>
      <c r="E51" s="13" t="s">
        <v>42</v>
      </c>
      <c r="F51" t="s">
        <v>441</v>
      </c>
      <c r="G51" t="s">
        <v>183</v>
      </c>
      <c r="H51" t="s">
        <v>19</v>
      </c>
      <c r="I51" t="s">
        <v>27</v>
      </c>
      <c r="J51">
        <v>18</v>
      </c>
      <c r="K51">
        <v>525</v>
      </c>
      <c r="L51" t="s">
        <v>74</v>
      </c>
    </row>
    <row r="52" spans="1:12" x14ac:dyDescent="0.45">
      <c r="A52" t="s">
        <v>489</v>
      </c>
      <c r="B52" t="s">
        <v>490</v>
      </c>
      <c r="C52" t="s">
        <v>133</v>
      </c>
      <c r="D52" t="s">
        <v>399</v>
      </c>
      <c r="E52" s="13" t="s">
        <v>42</v>
      </c>
      <c r="F52" t="s">
        <v>371</v>
      </c>
      <c r="G52" t="s">
        <v>491</v>
      </c>
      <c r="H52" t="s">
        <v>32</v>
      </c>
      <c r="I52" t="s">
        <v>27</v>
      </c>
      <c r="J52">
        <v>18</v>
      </c>
      <c r="K52">
        <v>165</v>
      </c>
      <c r="L52" t="s">
        <v>39</v>
      </c>
    </row>
    <row r="53" spans="1:12" x14ac:dyDescent="0.45">
      <c r="A53" t="s">
        <v>115</v>
      </c>
      <c r="B53" t="s">
        <v>116</v>
      </c>
      <c r="C53" t="s">
        <v>14</v>
      </c>
      <c r="D53" t="s">
        <v>15</v>
      </c>
      <c r="E53" t="s">
        <v>16</v>
      </c>
      <c r="F53" t="s">
        <v>17</v>
      </c>
      <c r="G53" t="s">
        <v>108</v>
      </c>
      <c r="H53" t="s">
        <v>19</v>
      </c>
      <c r="I53" t="s">
        <v>27</v>
      </c>
      <c r="J53">
        <v>17</v>
      </c>
      <c r="K53">
        <v>11999</v>
      </c>
      <c r="L53" t="s">
        <v>105</v>
      </c>
    </row>
    <row r="54" spans="1:12" x14ac:dyDescent="0.45">
      <c r="A54" t="s">
        <v>313</v>
      </c>
      <c r="B54" t="s">
        <v>314</v>
      </c>
      <c r="C54" t="s">
        <v>310</v>
      </c>
      <c r="D54" t="s">
        <v>15</v>
      </c>
      <c r="E54" t="s">
        <v>24</v>
      </c>
      <c r="F54" t="s">
        <v>17</v>
      </c>
      <c r="G54" t="s">
        <v>84</v>
      </c>
      <c r="H54" t="s">
        <v>62</v>
      </c>
      <c r="I54" t="s">
        <v>27</v>
      </c>
      <c r="J54">
        <v>16</v>
      </c>
      <c r="K54">
        <v>2599</v>
      </c>
      <c r="L54" t="s">
        <v>21</v>
      </c>
    </row>
    <row r="55" spans="1:12" x14ac:dyDescent="0.45">
      <c r="A55" t="s">
        <v>528</v>
      </c>
      <c r="B55" t="s">
        <v>529</v>
      </c>
      <c r="C55" t="s">
        <v>220</v>
      </c>
      <c r="D55" t="s">
        <v>348</v>
      </c>
      <c r="E55" s="13" t="s">
        <v>42</v>
      </c>
      <c r="F55" t="s">
        <v>441</v>
      </c>
      <c r="G55" t="s">
        <v>530</v>
      </c>
      <c r="H55" t="s">
        <v>95</v>
      </c>
      <c r="I55" t="s">
        <v>27</v>
      </c>
      <c r="J55">
        <v>16</v>
      </c>
      <c r="K55">
        <v>699</v>
      </c>
      <c r="L55" t="s">
        <v>74</v>
      </c>
    </row>
    <row r="56" spans="1:12" x14ac:dyDescent="0.45">
      <c r="A56" t="s">
        <v>272</v>
      </c>
      <c r="B56" t="s">
        <v>273</v>
      </c>
      <c r="C56" t="s">
        <v>220</v>
      </c>
      <c r="D56" t="s">
        <v>15</v>
      </c>
      <c r="E56" t="s">
        <v>16</v>
      </c>
      <c r="F56" t="s">
        <v>221</v>
      </c>
      <c r="G56" t="s">
        <v>274</v>
      </c>
      <c r="H56" t="s">
        <v>32</v>
      </c>
      <c r="I56" t="s">
        <v>27</v>
      </c>
      <c r="J56">
        <v>16</v>
      </c>
      <c r="K56">
        <v>499</v>
      </c>
      <c r="L56" t="s">
        <v>145</v>
      </c>
    </row>
    <row r="57" spans="1:12" x14ac:dyDescent="0.45">
      <c r="A57" t="s">
        <v>29</v>
      </c>
      <c r="B57" t="s">
        <v>30</v>
      </c>
      <c r="C57" t="s">
        <v>14</v>
      </c>
      <c r="D57" t="s">
        <v>15</v>
      </c>
      <c r="E57" t="s">
        <v>16</v>
      </c>
      <c r="F57" t="s">
        <v>17</v>
      </c>
      <c r="G57" t="s">
        <v>31</v>
      </c>
      <c r="H57" t="s">
        <v>32</v>
      </c>
      <c r="I57" t="s">
        <v>27</v>
      </c>
      <c r="J57">
        <v>16</v>
      </c>
      <c r="K57">
        <v>1299</v>
      </c>
      <c r="L57" t="s">
        <v>33</v>
      </c>
    </row>
    <row r="58" spans="1:12" x14ac:dyDescent="0.45">
      <c r="A58" t="s">
        <v>117</v>
      </c>
      <c r="B58" t="s">
        <v>118</v>
      </c>
      <c r="C58" t="s">
        <v>14</v>
      </c>
      <c r="D58" t="s">
        <v>15</v>
      </c>
      <c r="E58" s="13" t="s">
        <v>42</v>
      </c>
      <c r="F58" t="s">
        <v>17</v>
      </c>
      <c r="G58" t="s">
        <v>81</v>
      </c>
      <c r="H58" t="s">
        <v>62</v>
      </c>
      <c r="I58" t="s">
        <v>27</v>
      </c>
      <c r="J58">
        <v>16</v>
      </c>
      <c r="K58">
        <v>299</v>
      </c>
      <c r="L58" t="s">
        <v>119</v>
      </c>
    </row>
    <row r="59" spans="1:12" x14ac:dyDescent="0.45">
      <c r="A59" t="s">
        <v>595</v>
      </c>
      <c r="B59" t="s">
        <v>596</v>
      </c>
      <c r="C59" t="s">
        <v>310</v>
      </c>
      <c r="D59" t="s">
        <v>348</v>
      </c>
      <c r="E59" t="s">
        <v>16</v>
      </c>
      <c r="F59" t="s">
        <v>441</v>
      </c>
      <c r="G59" t="s">
        <v>156</v>
      </c>
      <c r="H59" t="s">
        <v>38</v>
      </c>
      <c r="I59" t="s">
        <v>27</v>
      </c>
      <c r="J59">
        <v>15</v>
      </c>
      <c r="K59">
        <v>1499</v>
      </c>
      <c r="L59" t="s">
        <v>126</v>
      </c>
    </row>
    <row r="60" spans="1:12" x14ac:dyDescent="0.45">
      <c r="A60" t="s">
        <v>562</v>
      </c>
      <c r="B60" t="s">
        <v>563</v>
      </c>
      <c r="C60" t="s">
        <v>284</v>
      </c>
      <c r="D60" t="s">
        <v>348</v>
      </c>
      <c r="E60" s="13" t="s">
        <v>42</v>
      </c>
      <c r="F60" t="s">
        <v>561</v>
      </c>
      <c r="G60" t="s">
        <v>394</v>
      </c>
      <c r="H60" t="s">
        <v>67</v>
      </c>
      <c r="I60" t="s">
        <v>27</v>
      </c>
      <c r="J60">
        <v>15</v>
      </c>
      <c r="K60">
        <v>899</v>
      </c>
      <c r="L60" t="s">
        <v>136</v>
      </c>
    </row>
    <row r="61" spans="1:12" x14ac:dyDescent="0.45">
      <c r="A61" t="s">
        <v>476</v>
      </c>
      <c r="B61" t="s">
        <v>477</v>
      </c>
      <c r="C61" t="s">
        <v>133</v>
      </c>
      <c r="D61" t="s">
        <v>348</v>
      </c>
      <c r="E61" s="13" t="s">
        <v>42</v>
      </c>
      <c r="F61" t="s">
        <v>441</v>
      </c>
      <c r="G61" t="s">
        <v>478</v>
      </c>
      <c r="H61" t="s">
        <v>38</v>
      </c>
      <c r="I61" t="s">
        <v>27</v>
      </c>
      <c r="J61">
        <v>15</v>
      </c>
      <c r="K61">
        <v>125</v>
      </c>
      <c r="L61" t="s">
        <v>63</v>
      </c>
    </row>
    <row r="62" spans="1:12" x14ac:dyDescent="0.45">
      <c r="A62" t="s">
        <v>109</v>
      </c>
      <c r="B62" t="s">
        <v>110</v>
      </c>
      <c r="C62" t="s">
        <v>14</v>
      </c>
      <c r="D62" t="s">
        <v>15</v>
      </c>
      <c r="E62" t="s">
        <v>16</v>
      </c>
      <c r="F62" t="s">
        <v>17</v>
      </c>
      <c r="G62" t="s">
        <v>111</v>
      </c>
      <c r="H62" t="s">
        <v>67</v>
      </c>
      <c r="I62" t="s">
        <v>27</v>
      </c>
      <c r="J62">
        <v>15</v>
      </c>
      <c r="K62">
        <v>10999</v>
      </c>
      <c r="L62" t="s">
        <v>105</v>
      </c>
    </row>
    <row r="63" spans="1:12" x14ac:dyDescent="0.45">
      <c r="A63" t="s">
        <v>286</v>
      </c>
      <c r="B63" t="s">
        <v>287</v>
      </c>
      <c r="C63" t="s">
        <v>284</v>
      </c>
      <c r="D63" t="s">
        <v>15</v>
      </c>
      <c r="E63" t="s">
        <v>16</v>
      </c>
      <c r="F63" t="s">
        <v>17</v>
      </c>
      <c r="G63" t="s">
        <v>114</v>
      </c>
      <c r="H63" t="s">
        <v>95</v>
      </c>
      <c r="I63" t="s">
        <v>27</v>
      </c>
      <c r="J63">
        <v>15</v>
      </c>
      <c r="K63">
        <v>399</v>
      </c>
      <c r="L63" t="s">
        <v>214</v>
      </c>
    </row>
    <row r="64" spans="1:12" x14ac:dyDescent="0.45">
      <c r="A64" t="s">
        <v>516</v>
      </c>
      <c r="B64" t="s">
        <v>517</v>
      </c>
      <c r="C64" t="s">
        <v>220</v>
      </c>
      <c r="D64" t="s">
        <v>399</v>
      </c>
      <c r="E64" t="s">
        <v>16</v>
      </c>
      <c r="F64" t="s">
        <v>371</v>
      </c>
      <c r="G64" t="s">
        <v>159</v>
      </c>
      <c r="H64" t="s">
        <v>95</v>
      </c>
      <c r="I64" t="s">
        <v>27</v>
      </c>
      <c r="J64">
        <v>15</v>
      </c>
      <c r="K64">
        <v>995</v>
      </c>
      <c r="L64" t="s">
        <v>51</v>
      </c>
    </row>
    <row r="65" spans="1:12" x14ac:dyDescent="0.45">
      <c r="A65" t="s">
        <v>492</v>
      </c>
      <c r="B65" t="s">
        <v>493</v>
      </c>
      <c r="C65" t="s">
        <v>133</v>
      </c>
      <c r="D65" t="s">
        <v>348</v>
      </c>
      <c r="E65" t="s">
        <v>24</v>
      </c>
      <c r="F65" t="s">
        <v>441</v>
      </c>
      <c r="G65" t="s">
        <v>274</v>
      </c>
      <c r="H65" t="s">
        <v>19</v>
      </c>
      <c r="I65" t="s">
        <v>27</v>
      </c>
      <c r="J65">
        <v>15</v>
      </c>
      <c r="K65">
        <v>850</v>
      </c>
      <c r="L65" t="s">
        <v>222</v>
      </c>
    </row>
    <row r="66" spans="1:12" x14ac:dyDescent="0.45">
      <c r="A66" t="s">
        <v>513</v>
      </c>
      <c r="B66" t="s">
        <v>514</v>
      </c>
      <c r="C66" t="s">
        <v>220</v>
      </c>
      <c r="D66" t="s">
        <v>511</v>
      </c>
      <c r="E66" t="s">
        <v>24</v>
      </c>
      <c r="F66" t="s">
        <v>371</v>
      </c>
      <c r="G66" t="s">
        <v>515</v>
      </c>
      <c r="H66" t="s">
        <v>50</v>
      </c>
      <c r="I66" t="s">
        <v>27</v>
      </c>
      <c r="J66">
        <v>15</v>
      </c>
      <c r="K66">
        <v>165</v>
      </c>
      <c r="L66" t="s">
        <v>74</v>
      </c>
    </row>
    <row r="67" spans="1:12" x14ac:dyDescent="0.45">
      <c r="A67" t="s">
        <v>444</v>
      </c>
      <c r="B67" t="s">
        <v>445</v>
      </c>
      <c r="C67" t="s">
        <v>133</v>
      </c>
      <c r="D67" t="s">
        <v>415</v>
      </c>
      <c r="E67" s="13" t="s">
        <v>42</v>
      </c>
      <c r="F67" t="s">
        <v>441</v>
      </c>
      <c r="G67" t="s">
        <v>18</v>
      </c>
      <c r="H67" t="s">
        <v>26</v>
      </c>
      <c r="I67" t="s">
        <v>27</v>
      </c>
      <c r="J67">
        <v>15</v>
      </c>
      <c r="K67">
        <v>40</v>
      </c>
      <c r="L67" t="s">
        <v>63</v>
      </c>
    </row>
    <row r="68" spans="1:12" x14ac:dyDescent="0.45">
      <c r="A68" t="s">
        <v>572</v>
      </c>
      <c r="B68" t="s">
        <v>573</v>
      </c>
      <c r="C68" t="s">
        <v>284</v>
      </c>
      <c r="D68" t="s">
        <v>348</v>
      </c>
      <c r="E68" s="13" t="s">
        <v>42</v>
      </c>
      <c r="F68" t="s">
        <v>561</v>
      </c>
      <c r="G68" t="s">
        <v>574</v>
      </c>
      <c r="H68" t="s">
        <v>19</v>
      </c>
      <c r="I68" t="s">
        <v>27</v>
      </c>
      <c r="J68">
        <v>14</v>
      </c>
      <c r="K68">
        <v>1999</v>
      </c>
      <c r="L68" t="s">
        <v>39</v>
      </c>
    </row>
    <row r="69" spans="1:12" x14ac:dyDescent="0.45">
      <c r="A69" t="s">
        <v>263</v>
      </c>
      <c r="B69" t="s">
        <v>264</v>
      </c>
      <c r="C69" t="s">
        <v>220</v>
      </c>
      <c r="D69" t="s">
        <v>15</v>
      </c>
      <c r="E69" s="13" t="s">
        <v>42</v>
      </c>
      <c r="F69" t="s">
        <v>221</v>
      </c>
      <c r="G69" t="s">
        <v>61</v>
      </c>
      <c r="H69" t="s">
        <v>19</v>
      </c>
      <c r="I69" t="s">
        <v>27</v>
      </c>
      <c r="J69">
        <v>14</v>
      </c>
      <c r="K69">
        <v>1850</v>
      </c>
      <c r="L69" t="s">
        <v>136</v>
      </c>
    </row>
    <row r="70" spans="1:12" x14ac:dyDescent="0.45">
      <c r="A70" t="s">
        <v>275</v>
      </c>
      <c r="B70" t="s">
        <v>276</v>
      </c>
      <c r="C70" t="s">
        <v>220</v>
      </c>
      <c r="D70" t="s">
        <v>15</v>
      </c>
      <c r="E70" s="13" t="s">
        <v>42</v>
      </c>
      <c r="F70" t="s">
        <v>221</v>
      </c>
      <c r="G70" t="s">
        <v>259</v>
      </c>
      <c r="H70" t="s">
        <v>67</v>
      </c>
      <c r="I70" t="s">
        <v>27</v>
      </c>
      <c r="J70">
        <v>14</v>
      </c>
      <c r="K70">
        <v>249</v>
      </c>
      <c r="L70" t="s">
        <v>222</v>
      </c>
    </row>
    <row r="71" spans="1:12" x14ac:dyDescent="0.45">
      <c r="A71" t="s">
        <v>59</v>
      </c>
      <c r="B71" t="s">
        <v>60</v>
      </c>
      <c r="C71" t="s">
        <v>14</v>
      </c>
      <c r="D71" t="s">
        <v>15</v>
      </c>
      <c r="E71" s="13" t="s">
        <v>42</v>
      </c>
      <c r="F71" t="s">
        <v>17</v>
      </c>
      <c r="G71" t="s">
        <v>61</v>
      </c>
      <c r="H71" t="s">
        <v>62</v>
      </c>
      <c r="I71" t="s">
        <v>27</v>
      </c>
      <c r="J71">
        <v>14</v>
      </c>
      <c r="K71">
        <v>27999</v>
      </c>
      <c r="L71" t="s">
        <v>63</v>
      </c>
    </row>
    <row r="72" spans="1:12" x14ac:dyDescent="0.45">
      <c r="A72" t="s">
        <v>300</v>
      </c>
      <c r="B72" t="s">
        <v>301</v>
      </c>
      <c r="C72" t="s">
        <v>284</v>
      </c>
      <c r="D72" t="s">
        <v>15</v>
      </c>
      <c r="E72" s="13" t="s">
        <v>42</v>
      </c>
      <c r="F72" t="s">
        <v>17</v>
      </c>
      <c r="G72" t="s">
        <v>259</v>
      </c>
      <c r="H72" t="s">
        <v>50</v>
      </c>
      <c r="I72" t="s">
        <v>27</v>
      </c>
      <c r="J72">
        <v>13</v>
      </c>
      <c r="K72">
        <v>399</v>
      </c>
      <c r="L72" t="s">
        <v>136</v>
      </c>
    </row>
    <row r="73" spans="1:12" x14ac:dyDescent="0.45">
      <c r="A73" t="s">
        <v>71</v>
      </c>
      <c r="B73" t="s">
        <v>72</v>
      </c>
      <c r="C73" t="s">
        <v>14</v>
      </c>
      <c r="D73" t="s">
        <v>15</v>
      </c>
      <c r="E73" s="13" t="s">
        <v>42</v>
      </c>
      <c r="F73" t="s">
        <v>17</v>
      </c>
      <c r="G73" t="s">
        <v>73</v>
      </c>
      <c r="H73" t="s">
        <v>32</v>
      </c>
      <c r="I73" t="s">
        <v>27</v>
      </c>
      <c r="J73">
        <v>13</v>
      </c>
      <c r="K73">
        <v>699</v>
      </c>
      <c r="L73" t="s">
        <v>74</v>
      </c>
    </row>
    <row r="74" spans="1:12" x14ac:dyDescent="0.45">
      <c r="A74" t="s">
        <v>102</v>
      </c>
      <c r="B74" t="s">
        <v>103</v>
      </c>
      <c r="C74" t="s">
        <v>14</v>
      </c>
      <c r="D74" t="s">
        <v>15</v>
      </c>
      <c r="E74" s="13" t="s">
        <v>42</v>
      </c>
      <c r="F74" t="s">
        <v>17</v>
      </c>
      <c r="G74" t="s">
        <v>104</v>
      </c>
      <c r="H74" t="s">
        <v>62</v>
      </c>
      <c r="I74" t="s">
        <v>27</v>
      </c>
      <c r="J74">
        <v>13</v>
      </c>
      <c r="K74">
        <v>1299</v>
      </c>
      <c r="L74" t="s">
        <v>105</v>
      </c>
    </row>
    <row r="75" spans="1:12" x14ac:dyDescent="0.45">
      <c r="A75" t="s">
        <v>178</v>
      </c>
      <c r="B75" t="s">
        <v>179</v>
      </c>
      <c r="C75" t="s">
        <v>133</v>
      </c>
      <c r="D75" t="s">
        <v>15</v>
      </c>
      <c r="E75" t="s">
        <v>16</v>
      </c>
      <c r="F75" t="s">
        <v>134</v>
      </c>
      <c r="G75" t="s">
        <v>180</v>
      </c>
      <c r="H75" t="s">
        <v>38</v>
      </c>
      <c r="I75" t="s">
        <v>27</v>
      </c>
      <c r="J75">
        <v>13</v>
      </c>
      <c r="K75">
        <v>185</v>
      </c>
      <c r="L75" t="s">
        <v>85</v>
      </c>
    </row>
    <row r="76" spans="1:12" x14ac:dyDescent="0.45">
      <c r="A76" t="s">
        <v>364</v>
      </c>
      <c r="B76" t="s">
        <v>365</v>
      </c>
      <c r="C76" t="s">
        <v>14</v>
      </c>
      <c r="D76" t="s">
        <v>360</v>
      </c>
      <c r="E76" t="s">
        <v>24</v>
      </c>
      <c r="F76" t="s">
        <v>349</v>
      </c>
      <c r="G76" t="s">
        <v>357</v>
      </c>
      <c r="H76" t="s">
        <v>26</v>
      </c>
      <c r="I76" t="s">
        <v>27</v>
      </c>
      <c r="J76">
        <v>13</v>
      </c>
      <c r="K76">
        <v>17999</v>
      </c>
      <c r="L76" t="s">
        <v>222</v>
      </c>
    </row>
    <row r="77" spans="1:12" x14ac:dyDescent="0.45">
      <c r="A77" t="s">
        <v>252</v>
      </c>
      <c r="B77" t="s">
        <v>253</v>
      </c>
      <c r="C77" t="s">
        <v>220</v>
      </c>
      <c r="D77" t="s">
        <v>15</v>
      </c>
      <c r="E77" t="s">
        <v>16</v>
      </c>
      <c r="F77" t="s">
        <v>221</v>
      </c>
      <c r="G77" t="s">
        <v>217</v>
      </c>
      <c r="H77" t="s">
        <v>32</v>
      </c>
      <c r="I77" t="s">
        <v>27</v>
      </c>
      <c r="J77">
        <v>13</v>
      </c>
      <c r="K77">
        <v>140</v>
      </c>
      <c r="L77" t="s">
        <v>166</v>
      </c>
    </row>
    <row r="78" spans="1:12" x14ac:dyDescent="0.45">
      <c r="A78" t="s">
        <v>260</v>
      </c>
      <c r="B78" t="s">
        <v>261</v>
      </c>
      <c r="C78" t="s">
        <v>220</v>
      </c>
      <c r="D78" t="s">
        <v>15</v>
      </c>
      <c r="E78" t="s">
        <v>24</v>
      </c>
      <c r="F78" t="s">
        <v>221</v>
      </c>
      <c r="G78" t="s">
        <v>262</v>
      </c>
      <c r="H78" t="s">
        <v>32</v>
      </c>
      <c r="I78" t="s">
        <v>27</v>
      </c>
      <c r="J78">
        <v>13</v>
      </c>
      <c r="K78">
        <v>525</v>
      </c>
      <c r="L78" t="s">
        <v>39</v>
      </c>
    </row>
    <row r="79" spans="1:12" x14ac:dyDescent="0.45">
      <c r="A79" t="s">
        <v>403</v>
      </c>
      <c r="B79" t="s">
        <v>404</v>
      </c>
      <c r="C79" t="s">
        <v>14</v>
      </c>
      <c r="D79" t="s">
        <v>370</v>
      </c>
      <c r="E79" t="s">
        <v>16</v>
      </c>
      <c r="F79" t="s">
        <v>371</v>
      </c>
      <c r="G79" t="s">
        <v>262</v>
      </c>
      <c r="H79" t="s">
        <v>32</v>
      </c>
      <c r="I79" t="s">
        <v>27</v>
      </c>
      <c r="J79">
        <v>12</v>
      </c>
      <c r="K79">
        <v>34999</v>
      </c>
      <c r="L79" t="s">
        <v>63</v>
      </c>
    </row>
    <row r="80" spans="1:12" x14ac:dyDescent="0.45">
      <c r="A80" t="s">
        <v>243</v>
      </c>
      <c r="B80" t="s">
        <v>244</v>
      </c>
      <c r="C80" t="s">
        <v>220</v>
      </c>
      <c r="D80" t="s">
        <v>15</v>
      </c>
      <c r="E80" s="13" t="s">
        <v>42</v>
      </c>
      <c r="F80" t="s">
        <v>221</v>
      </c>
      <c r="G80" t="s">
        <v>245</v>
      </c>
      <c r="H80" t="s">
        <v>38</v>
      </c>
      <c r="I80" t="s">
        <v>27</v>
      </c>
      <c r="J80">
        <v>12</v>
      </c>
      <c r="K80">
        <v>399</v>
      </c>
      <c r="L80" t="s">
        <v>33</v>
      </c>
    </row>
    <row r="81" spans="1:12" x14ac:dyDescent="0.45">
      <c r="A81" t="s">
        <v>305</v>
      </c>
      <c r="B81" t="s">
        <v>306</v>
      </c>
      <c r="C81" t="s">
        <v>284</v>
      </c>
      <c r="D81" t="s">
        <v>15</v>
      </c>
      <c r="E81" t="s">
        <v>24</v>
      </c>
      <c r="F81" t="s">
        <v>17</v>
      </c>
      <c r="G81" t="s">
        <v>307</v>
      </c>
      <c r="H81" t="s">
        <v>50</v>
      </c>
      <c r="I81" t="s">
        <v>27</v>
      </c>
      <c r="J81">
        <v>12</v>
      </c>
      <c r="K81">
        <v>899</v>
      </c>
      <c r="L81" t="s">
        <v>28</v>
      </c>
    </row>
    <row r="82" spans="1:12" x14ac:dyDescent="0.45">
      <c r="A82" t="s">
        <v>384</v>
      </c>
      <c r="B82" t="s">
        <v>385</v>
      </c>
      <c r="C82" t="s">
        <v>14</v>
      </c>
      <c r="D82" t="s">
        <v>386</v>
      </c>
      <c r="E82" t="s">
        <v>16</v>
      </c>
      <c r="F82" t="s">
        <v>349</v>
      </c>
      <c r="G82" t="s">
        <v>335</v>
      </c>
      <c r="H82" t="s">
        <v>26</v>
      </c>
      <c r="I82" t="s">
        <v>27</v>
      </c>
      <c r="J82">
        <v>12</v>
      </c>
      <c r="K82">
        <v>49990</v>
      </c>
      <c r="L82" t="s">
        <v>166</v>
      </c>
    </row>
    <row r="83" spans="1:12" x14ac:dyDescent="0.45">
      <c r="A83" t="s">
        <v>431</v>
      </c>
      <c r="B83" t="s">
        <v>432</v>
      </c>
      <c r="C83" t="s">
        <v>14</v>
      </c>
      <c r="D83" t="s">
        <v>348</v>
      </c>
      <c r="E83" s="13" t="s">
        <v>42</v>
      </c>
      <c r="F83" t="s">
        <v>349</v>
      </c>
      <c r="G83" t="s">
        <v>58</v>
      </c>
      <c r="H83" t="s">
        <v>38</v>
      </c>
      <c r="I83" t="s">
        <v>27</v>
      </c>
      <c r="J83">
        <v>12</v>
      </c>
      <c r="K83">
        <v>12999</v>
      </c>
      <c r="L83" t="s">
        <v>33</v>
      </c>
    </row>
    <row r="84" spans="1:12" x14ac:dyDescent="0.45">
      <c r="A84" t="s">
        <v>395</v>
      </c>
      <c r="B84" t="s">
        <v>396</v>
      </c>
      <c r="C84" t="s">
        <v>14</v>
      </c>
      <c r="D84" t="s">
        <v>348</v>
      </c>
      <c r="E84" s="13" t="s">
        <v>42</v>
      </c>
      <c r="F84" t="s">
        <v>349</v>
      </c>
      <c r="G84" t="s">
        <v>70</v>
      </c>
      <c r="H84" t="s">
        <v>67</v>
      </c>
      <c r="I84" t="s">
        <v>27</v>
      </c>
      <c r="J84">
        <v>11</v>
      </c>
      <c r="K84">
        <v>32900</v>
      </c>
      <c r="L84" t="s">
        <v>39</v>
      </c>
    </row>
    <row r="85" spans="1:12" x14ac:dyDescent="0.45">
      <c r="A85" t="s">
        <v>22</v>
      </c>
      <c r="B85" t="s">
        <v>23</v>
      </c>
      <c r="C85" t="s">
        <v>14</v>
      </c>
      <c r="D85" t="s">
        <v>15</v>
      </c>
      <c r="E85" t="s">
        <v>24</v>
      </c>
      <c r="F85" t="s">
        <v>17</v>
      </c>
      <c r="G85" t="s">
        <v>25</v>
      </c>
      <c r="H85" t="s">
        <v>26</v>
      </c>
      <c r="I85" t="s">
        <v>27</v>
      </c>
      <c r="J85">
        <v>11</v>
      </c>
      <c r="K85">
        <v>19999</v>
      </c>
      <c r="L85" t="s">
        <v>28</v>
      </c>
    </row>
    <row r="86" spans="1:12" x14ac:dyDescent="0.45">
      <c r="A86" t="s">
        <v>231</v>
      </c>
      <c r="B86" t="s">
        <v>232</v>
      </c>
      <c r="C86" t="s">
        <v>220</v>
      </c>
      <c r="D86" t="s">
        <v>15</v>
      </c>
      <c r="E86" t="s">
        <v>24</v>
      </c>
      <c r="F86" t="s">
        <v>221</v>
      </c>
      <c r="G86" t="s">
        <v>162</v>
      </c>
      <c r="H86" t="s">
        <v>38</v>
      </c>
      <c r="I86" t="s">
        <v>27</v>
      </c>
      <c r="J86">
        <v>11</v>
      </c>
      <c r="K86">
        <v>375</v>
      </c>
      <c r="L86" t="s">
        <v>78</v>
      </c>
    </row>
    <row r="87" spans="1:12" x14ac:dyDescent="0.45">
      <c r="A87" t="s">
        <v>149</v>
      </c>
      <c r="B87" t="s">
        <v>150</v>
      </c>
      <c r="C87" t="s">
        <v>133</v>
      </c>
      <c r="D87" t="s">
        <v>15</v>
      </c>
      <c r="E87" s="13" t="s">
        <v>42</v>
      </c>
      <c r="F87" t="s">
        <v>134</v>
      </c>
      <c r="G87" t="s">
        <v>37</v>
      </c>
      <c r="H87" t="s">
        <v>26</v>
      </c>
      <c r="I87" t="s">
        <v>27</v>
      </c>
      <c r="J87">
        <v>11</v>
      </c>
      <c r="K87">
        <v>135</v>
      </c>
      <c r="L87" t="s">
        <v>33</v>
      </c>
    </row>
    <row r="88" spans="1:12" x14ac:dyDescent="0.45">
      <c r="A88" t="s">
        <v>56</v>
      </c>
      <c r="B88" t="s">
        <v>57</v>
      </c>
      <c r="C88" t="s">
        <v>14</v>
      </c>
      <c r="D88" t="s">
        <v>15</v>
      </c>
      <c r="E88" s="13" t="s">
        <v>42</v>
      </c>
      <c r="F88" t="s">
        <v>17</v>
      </c>
      <c r="G88" t="s">
        <v>58</v>
      </c>
      <c r="H88" t="s">
        <v>38</v>
      </c>
      <c r="I88" t="s">
        <v>27</v>
      </c>
      <c r="J88">
        <v>10</v>
      </c>
      <c r="K88">
        <v>17999</v>
      </c>
      <c r="L88" t="s">
        <v>39</v>
      </c>
    </row>
    <row r="89" spans="1:12" x14ac:dyDescent="0.45">
      <c r="A89" t="s">
        <v>254</v>
      </c>
      <c r="B89" t="s">
        <v>255</v>
      </c>
      <c r="C89" t="s">
        <v>220</v>
      </c>
      <c r="D89" t="s">
        <v>15</v>
      </c>
      <c r="E89" s="13" t="s">
        <v>42</v>
      </c>
      <c r="F89" t="s">
        <v>221</v>
      </c>
      <c r="G89" t="s">
        <v>256</v>
      </c>
      <c r="H89" t="s">
        <v>67</v>
      </c>
      <c r="I89" t="s">
        <v>27</v>
      </c>
      <c r="J89">
        <v>10</v>
      </c>
      <c r="K89">
        <v>115</v>
      </c>
      <c r="L89" t="s">
        <v>145</v>
      </c>
    </row>
    <row r="90" spans="1:12" x14ac:dyDescent="0.45">
      <c r="A90" t="s">
        <v>472</v>
      </c>
      <c r="B90" t="s">
        <v>473</v>
      </c>
      <c r="C90" t="s">
        <v>133</v>
      </c>
      <c r="D90" t="s">
        <v>348</v>
      </c>
      <c r="E90" s="13" t="s">
        <v>42</v>
      </c>
      <c r="F90" t="s">
        <v>441</v>
      </c>
      <c r="G90" t="s">
        <v>94</v>
      </c>
      <c r="H90" t="s">
        <v>50</v>
      </c>
      <c r="I90" t="s">
        <v>27</v>
      </c>
      <c r="J90">
        <v>10</v>
      </c>
      <c r="K90">
        <v>20</v>
      </c>
      <c r="L90" t="s">
        <v>105</v>
      </c>
    </row>
    <row r="91" spans="1:12" x14ac:dyDescent="0.45">
      <c r="A91" t="s">
        <v>589</v>
      </c>
      <c r="B91" t="s">
        <v>590</v>
      </c>
      <c r="C91" t="s">
        <v>310</v>
      </c>
      <c r="D91" t="s">
        <v>588</v>
      </c>
      <c r="E91" s="13" t="s">
        <v>42</v>
      </c>
      <c r="F91" t="s">
        <v>371</v>
      </c>
      <c r="G91" t="s">
        <v>108</v>
      </c>
      <c r="H91" t="s">
        <v>67</v>
      </c>
      <c r="I91" t="s">
        <v>27</v>
      </c>
      <c r="J91">
        <v>10</v>
      </c>
      <c r="K91">
        <v>1895</v>
      </c>
      <c r="L91" t="s">
        <v>145</v>
      </c>
    </row>
    <row r="92" spans="1:12" x14ac:dyDescent="0.45">
      <c r="A92" t="s">
        <v>446</v>
      </c>
      <c r="B92" t="s">
        <v>447</v>
      </c>
      <c r="C92" t="s">
        <v>133</v>
      </c>
      <c r="D92" t="s">
        <v>415</v>
      </c>
      <c r="E92" t="s">
        <v>24</v>
      </c>
      <c r="F92" t="s">
        <v>441</v>
      </c>
      <c r="G92" t="s">
        <v>375</v>
      </c>
      <c r="H92" t="s">
        <v>38</v>
      </c>
      <c r="I92" t="s">
        <v>27</v>
      </c>
      <c r="J92">
        <v>9</v>
      </c>
      <c r="K92">
        <v>10</v>
      </c>
      <c r="L92" t="s">
        <v>28</v>
      </c>
    </row>
    <row r="93" spans="1:12" x14ac:dyDescent="0.45">
      <c r="A93" t="s">
        <v>368</v>
      </c>
      <c r="B93" t="s">
        <v>369</v>
      </c>
      <c r="C93" t="s">
        <v>14</v>
      </c>
      <c r="D93" t="s">
        <v>370</v>
      </c>
      <c r="E93" t="s">
        <v>24</v>
      </c>
      <c r="F93" t="s">
        <v>371</v>
      </c>
      <c r="G93" t="s">
        <v>372</v>
      </c>
      <c r="H93" t="s">
        <v>19</v>
      </c>
      <c r="I93" t="s">
        <v>27</v>
      </c>
      <c r="J93">
        <v>4</v>
      </c>
      <c r="K93">
        <v>29990</v>
      </c>
      <c r="L93" t="s">
        <v>21</v>
      </c>
    </row>
    <row r="94" spans="1:12" x14ac:dyDescent="0.45">
      <c r="A94" t="s">
        <v>420</v>
      </c>
      <c r="B94" t="s">
        <v>421</v>
      </c>
      <c r="C94" t="s">
        <v>14</v>
      </c>
      <c r="D94" t="s">
        <v>348</v>
      </c>
      <c r="E94" t="s">
        <v>24</v>
      </c>
      <c r="F94" t="s">
        <v>349</v>
      </c>
      <c r="G94" t="s">
        <v>317</v>
      </c>
      <c r="H94" t="s">
        <v>67</v>
      </c>
      <c r="I94" t="s">
        <v>27</v>
      </c>
      <c r="J94">
        <v>2</v>
      </c>
      <c r="K94">
        <v>5499</v>
      </c>
      <c r="L94" t="s">
        <v>63</v>
      </c>
    </row>
    <row r="95" spans="1:12" x14ac:dyDescent="0.45">
      <c r="A95" t="s">
        <v>470</v>
      </c>
      <c r="B95" t="s">
        <v>471</v>
      </c>
      <c r="C95" t="s">
        <v>133</v>
      </c>
      <c r="D95" t="s">
        <v>399</v>
      </c>
      <c r="E95" t="s">
        <v>24</v>
      </c>
      <c r="F95" t="s">
        <v>371</v>
      </c>
      <c r="G95" t="s">
        <v>338</v>
      </c>
      <c r="H95" t="s">
        <v>38</v>
      </c>
      <c r="I95" t="s">
        <v>27</v>
      </c>
      <c r="J95">
        <v>2</v>
      </c>
      <c r="K95">
        <v>130</v>
      </c>
      <c r="L95" t="s">
        <v>63</v>
      </c>
    </row>
    <row r="96" spans="1:12" x14ac:dyDescent="0.45">
      <c r="A96" t="s">
        <v>545</v>
      </c>
      <c r="B96" t="s">
        <v>546</v>
      </c>
      <c r="C96" t="s">
        <v>220</v>
      </c>
      <c r="D96" t="s">
        <v>348</v>
      </c>
      <c r="E96" t="s">
        <v>24</v>
      </c>
      <c r="F96" t="s">
        <v>441</v>
      </c>
      <c r="G96" t="s">
        <v>547</v>
      </c>
      <c r="H96" t="s">
        <v>67</v>
      </c>
      <c r="I96" t="s">
        <v>27</v>
      </c>
      <c r="J96">
        <v>2</v>
      </c>
      <c r="K96">
        <v>325</v>
      </c>
      <c r="L96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Products</vt:lpstr>
      <vt:lpstr>Dashboard</vt:lpstr>
      <vt:lpstr>Indian Products</vt:lpstr>
      <vt:lpstr>Foreign Products</vt:lpstr>
      <vt:lpstr>⚠️ High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Anuz D</cp:lastModifiedBy>
  <cp:revision>0</cp:revision>
  <dcterms:created xsi:type="dcterms:W3CDTF">2026-02-16T10:32:57Z</dcterms:created>
  <dcterms:modified xsi:type="dcterms:W3CDTF">2026-02-16T18:25:53Z</dcterms:modified>
  <dc:language>en-US</dc:language>
</cp:coreProperties>
</file>